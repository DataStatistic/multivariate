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Data" sheetId="1" r:id="rId1"/>
    <sheet name="Description" sheetId="2" r:id="rId2"/>
  </sheets>
  <definedNames>
    <definedName name="_xlnm._FilterDatabase" localSheetId="0" hidden="1">Data!$B$1:$Z$101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mario</author>
  </authors>
  <commentList>
    <comment ref="B25" authorId="0">
      <text>
        <r>
          <rPr>
            <sz val="9"/>
            <rFont val="Times New Roman"/>
            <charset val="0"/>
          </rPr>
          <t>Muscle mass index estimated by bioelectrical impedance analysis</t>
        </r>
      </text>
    </comment>
    <comment ref="B30" authorId="0">
      <text>
        <r>
          <rPr>
            <sz val="9"/>
            <rFont val="Times New Roman"/>
            <charset val="0"/>
          </rPr>
          <t>Insulin resistance index</t>
        </r>
      </text>
    </comment>
  </commentList>
</comments>
</file>

<file path=xl/sharedStrings.xml><?xml version="1.0" encoding="utf-8"?>
<sst xmlns="http://schemas.openxmlformats.org/spreadsheetml/2006/main" count="597" uniqueCount="60">
  <si>
    <t>No</t>
  </si>
  <si>
    <t>Age</t>
  </si>
  <si>
    <t>Age Category</t>
  </si>
  <si>
    <t>Gender</t>
  </si>
  <si>
    <t>GenderCategory</t>
  </si>
  <si>
    <t>Body weight</t>
  </si>
  <si>
    <t>body height</t>
  </si>
  <si>
    <t>BMI</t>
  </si>
  <si>
    <t>Obesity category</t>
  </si>
  <si>
    <t>BMI category</t>
  </si>
  <si>
    <t>Hypertension</t>
  </si>
  <si>
    <t>DM type 2</t>
  </si>
  <si>
    <t>Hand grip test</t>
  </si>
  <si>
    <t>HGT Category</t>
  </si>
  <si>
    <t>HGT Cat No</t>
  </si>
  <si>
    <t>Gait speed</t>
  </si>
  <si>
    <t>gait speed category</t>
  </si>
  <si>
    <t>gait speed cat no</t>
  </si>
  <si>
    <t>BIA</t>
  </si>
  <si>
    <t>BIA Category</t>
  </si>
  <si>
    <t>BIA Cat no</t>
  </si>
  <si>
    <t>Sarcopenia cat</t>
  </si>
  <si>
    <t>Sarcopenia</t>
  </si>
  <si>
    <t>HOMA IR</t>
  </si>
  <si>
    <t>Tertil HOMA-IR</t>
  </si>
  <si>
    <t>female</t>
  </si>
  <si>
    <t>Grade 1 Obesity</t>
  </si>
  <si>
    <t>Normal</t>
  </si>
  <si>
    <t>Male</t>
  </si>
  <si>
    <t>Grade 2 Obesity</t>
  </si>
  <si>
    <t>Abnormal</t>
  </si>
  <si>
    <t>sarcpenia</t>
  </si>
  <si>
    <t>yes</t>
  </si>
  <si>
    <t>severe sarcopenia</t>
  </si>
  <si>
    <t>Overweight</t>
  </si>
  <si>
    <t>sarcopenia</t>
  </si>
  <si>
    <t>Suhardi FL, Aman AM, Sudarso A et al. HOMA-IR Values in Overweight and Obesity Subjects With and Without Sarcopenia. F1000Research 2026, 15:313 (https://doi.org/10.12688/f1000research.177884.1)</t>
  </si>
  <si>
    <r>
      <t>Data availability</t>
    </r>
    <r>
      <rPr>
        <sz val="12"/>
        <color theme="1"/>
        <rFont val="Calibri"/>
        <charset val="134"/>
        <scheme val="minor"/>
      </rPr>
      <t>: https://doi.org/10.5281/zenodo.18478899</t>
    </r>
  </si>
  <si>
    <t>Variable</t>
  </si>
  <si>
    <t>Name</t>
  </si>
  <si>
    <t>ID</t>
  </si>
  <si>
    <t>Age group</t>
  </si>
  <si>
    <t>Sex</t>
  </si>
  <si>
    <t>Sex category</t>
  </si>
  <si>
    <t>Weight</t>
  </si>
  <si>
    <t>Height</t>
  </si>
  <si>
    <t>Obesity class</t>
  </si>
  <si>
    <t>Type 2 diabetes mellitus</t>
  </si>
  <si>
    <t>Handgrip strength</t>
  </si>
  <si>
    <t>Handgrip category</t>
  </si>
  <si>
    <t>Handgrip code</t>
  </si>
  <si>
    <t>Gait category</t>
  </si>
  <si>
    <t>Gait code</t>
  </si>
  <si>
    <t>BIA muscle mass index</t>
  </si>
  <si>
    <t>BIA muscle mass category</t>
  </si>
  <si>
    <t>BIA muscle mass code</t>
  </si>
  <si>
    <t>Sarcopenia status</t>
  </si>
  <si>
    <t>Sarcopenia group</t>
  </si>
  <si>
    <t>HOMA-IR</t>
  </si>
  <si>
    <t>HOMA-IR tertile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</si>
</sst>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rgb="FF0A0A0A"/>
      <name val="Courier New"/>
      <charset val="134"/>
    </font>
    <font>
      <sz val="12"/>
      <color rgb="FF000000"/>
      <name val="Calibri"/>
      <charset val="134"/>
      <scheme val="minor"/>
    </font>
    <font>
      <sz val="12"/>
      <color rgb="FF000000"/>
      <name val="Helvetica Neu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4" fillId="0" borderId="0" xfId="0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 wrapText="1"/>
    </xf>
    <xf numFmtId="0" fontId="5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01"/>
  <sheetViews>
    <sheetView tabSelected="1" zoomScale="115" zoomScaleNormal="115" topLeftCell="B1" workbookViewId="0">
      <pane xSplit="4" topLeftCell="F1" activePane="topRight" state="frozen"/>
      <selection/>
      <selection pane="topRight" activeCell="E4" sqref="E4"/>
    </sheetView>
  </sheetViews>
  <sheetFormatPr defaultColWidth="11" defaultRowHeight="15.5"/>
  <cols>
    <col min="2" max="2" width="4.41666666666667" customWidth="1"/>
    <col min="3" max="3" width="12.6666666666667" customWidth="1"/>
    <col min="4" max="4" width="11.1666666666667" customWidth="1"/>
    <col min="5" max="6" width="11.8333333333333" customWidth="1"/>
    <col min="7" max="8" width="11.1666666666667" customWidth="1"/>
    <col min="9" max="9" width="14.3333333333333" customWidth="1"/>
    <col min="10" max="10" width="17.1666666666667" customWidth="1"/>
    <col min="11" max="11" width="9.66666666666667" customWidth="1"/>
    <col min="14" max="14" width="14.3333333333333" customWidth="1"/>
    <col min="15" max="15" width="13.1666666666667" customWidth="1"/>
    <col min="16" max="16" width="9" customWidth="1"/>
    <col min="17" max="17" width="17.3333333333333" customWidth="1"/>
    <col min="18" max="19" width="12.8333333333333" customWidth="1"/>
    <col min="20" max="20" width="14.3333333333333" customWidth="1"/>
    <col min="21" max="21" width="12.3333333333333" customWidth="1"/>
    <col min="22" max="22" width="9.16666666666667" customWidth="1"/>
    <col min="23" max="23" width="17.8333333333333" customWidth="1"/>
    <col min="24" max="24" width="11.3333333333333" customWidth="1"/>
    <col min="26" max="26" width="14.5" customWidth="1"/>
  </cols>
  <sheetData>
    <row r="1" spans="2:2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2:27">
      <c r="B2">
        <v>1</v>
      </c>
      <c r="C2">
        <v>32</v>
      </c>
      <c r="D2">
        <v>1</v>
      </c>
      <c r="E2" t="s">
        <v>25</v>
      </c>
      <c r="F2" s="5">
        <f t="shared" ref="F2:F33" si="0">IF(E2="Male",1,2)</f>
        <v>2</v>
      </c>
      <c r="G2">
        <v>72.5</v>
      </c>
      <c r="H2">
        <v>157</v>
      </c>
      <c r="I2" s="6">
        <f t="shared" ref="I2:I42" si="1">SUM(G2/((H2/100)*(H2/100)))</f>
        <v>29.4129579293278</v>
      </c>
      <c r="J2" t="s">
        <v>26</v>
      </c>
      <c r="K2">
        <v>2</v>
      </c>
      <c r="L2" t="s">
        <v>0</v>
      </c>
      <c r="M2" t="s">
        <v>0</v>
      </c>
      <c r="N2">
        <v>27.5</v>
      </c>
      <c r="O2" t="str">
        <f>IF(N2&gt;18,"Normal","Abnormal")</f>
        <v>Normal</v>
      </c>
      <c r="P2">
        <v>1</v>
      </c>
      <c r="Q2">
        <v>1.1</v>
      </c>
      <c r="R2" t="s">
        <v>27</v>
      </c>
      <c r="S2">
        <v>1</v>
      </c>
      <c r="T2">
        <v>5.6</v>
      </c>
      <c r="U2" t="s">
        <v>27</v>
      </c>
      <c r="V2">
        <v>1</v>
      </c>
      <c r="W2" t="s">
        <v>27</v>
      </c>
      <c r="X2">
        <v>1</v>
      </c>
      <c r="Y2">
        <v>1.3</v>
      </c>
      <c r="Z2" t="str">
        <f>IF(Data!Y2&lt;2.1,"Tertil 1",IF(Data!Y2&lt;=2.6,"Tertil 2","Tertil 3"))</f>
        <v>Tertil 1</v>
      </c>
    </row>
    <row r="3" spans="2:27">
      <c r="B3">
        <v>2</v>
      </c>
      <c r="C3">
        <v>35</v>
      </c>
      <c r="D3">
        <v>1</v>
      </c>
      <c r="E3" t="s">
        <v>28</v>
      </c>
      <c r="F3" s="5">
        <f t="shared" si="0"/>
        <v>1</v>
      </c>
      <c r="G3">
        <v>135</v>
      </c>
      <c r="H3">
        <v>180</v>
      </c>
      <c r="I3" s="6">
        <f t="shared" si="1"/>
        <v>41.6666666666667</v>
      </c>
      <c r="J3" t="s">
        <v>29</v>
      </c>
      <c r="K3">
        <v>3</v>
      </c>
      <c r="L3" t="s">
        <v>0</v>
      </c>
      <c r="M3" t="s">
        <v>0</v>
      </c>
      <c r="N3">
        <v>39.2</v>
      </c>
      <c r="O3" t="str">
        <f>IF(N3&gt;28,"Normal","Abnormal")</f>
        <v>Normal</v>
      </c>
      <c r="P3">
        <v>1</v>
      </c>
      <c r="Q3">
        <v>1</v>
      </c>
      <c r="R3" t="s">
        <v>27</v>
      </c>
      <c r="S3">
        <v>1</v>
      </c>
      <c r="T3">
        <v>7.2</v>
      </c>
      <c r="U3" t="s">
        <v>27</v>
      </c>
      <c r="V3">
        <v>1</v>
      </c>
      <c r="W3" t="s">
        <v>27</v>
      </c>
      <c r="X3">
        <v>1</v>
      </c>
      <c r="Y3">
        <v>5.3</v>
      </c>
      <c r="Z3" t="str">
        <f>IF(Data!Y3&lt;2.1,"Tertil 1",IF(Data!Y3&lt;=2.6,"Tertil 2","Tertil 3"))</f>
        <v>Tertil 3</v>
      </c>
    </row>
    <row r="4" spans="2:27">
      <c r="B4">
        <v>3</v>
      </c>
      <c r="C4">
        <v>30</v>
      </c>
      <c r="D4">
        <v>1</v>
      </c>
      <c r="E4" t="s">
        <v>28</v>
      </c>
      <c r="F4" s="5">
        <f t="shared" si="0"/>
        <v>1</v>
      </c>
      <c r="G4">
        <v>123.8</v>
      </c>
      <c r="H4">
        <v>173</v>
      </c>
      <c r="I4" s="6">
        <f t="shared" si="1"/>
        <v>41.3645627986234</v>
      </c>
      <c r="J4" t="s">
        <v>29</v>
      </c>
      <c r="K4">
        <v>3</v>
      </c>
      <c r="L4" t="s">
        <v>0</v>
      </c>
      <c r="M4" t="s">
        <v>0</v>
      </c>
      <c r="N4">
        <v>43</v>
      </c>
      <c r="O4" t="str">
        <f>IF(N4&gt;28,"Normal","Abnormal")</f>
        <v>Normal</v>
      </c>
      <c r="P4">
        <v>1</v>
      </c>
      <c r="Q4">
        <v>1</v>
      </c>
      <c r="R4" t="s">
        <v>27</v>
      </c>
      <c r="S4">
        <v>1</v>
      </c>
      <c r="T4">
        <v>7.3</v>
      </c>
      <c r="U4" t="s">
        <v>27</v>
      </c>
      <c r="V4">
        <v>1</v>
      </c>
      <c r="W4" t="s">
        <v>27</v>
      </c>
      <c r="X4">
        <v>1</v>
      </c>
      <c r="Y4">
        <v>3.6</v>
      </c>
      <c r="Z4" t="str">
        <f>IF(Data!Y4&lt;2.1,"Tertil 1",IF(Data!Y4&lt;=2.6,"Tertil 2","Tertil 3"))</f>
        <v>Tertil 3</v>
      </c>
    </row>
    <row r="5" ht="18.5" spans="2:27">
      <c r="B5">
        <v>4</v>
      </c>
      <c r="C5">
        <v>34</v>
      </c>
      <c r="D5">
        <v>1</v>
      </c>
      <c r="E5" t="s">
        <v>25</v>
      </c>
      <c r="F5" s="5">
        <f t="shared" si="0"/>
        <v>2</v>
      </c>
      <c r="G5">
        <v>97.4</v>
      </c>
      <c r="H5">
        <v>165</v>
      </c>
      <c r="I5" s="6">
        <f t="shared" si="1"/>
        <v>35.7759412304867</v>
      </c>
      <c r="J5" t="s">
        <v>29</v>
      </c>
      <c r="K5">
        <v>3</v>
      </c>
      <c r="L5" t="s">
        <v>0</v>
      </c>
      <c r="M5" t="s">
        <v>0</v>
      </c>
      <c r="N5">
        <v>27.4</v>
      </c>
      <c r="O5" t="str">
        <f>IF(N5&gt;18,"Normal","Abnormal")</f>
        <v>Normal</v>
      </c>
      <c r="P5">
        <v>1</v>
      </c>
      <c r="Q5">
        <v>1.1</v>
      </c>
      <c r="R5" t="s">
        <v>27</v>
      </c>
      <c r="S5">
        <v>1</v>
      </c>
      <c r="T5">
        <v>4</v>
      </c>
      <c r="U5" t="s">
        <v>30</v>
      </c>
      <c r="V5">
        <v>2</v>
      </c>
      <c r="W5" t="s">
        <v>31</v>
      </c>
      <c r="X5">
        <v>2</v>
      </c>
      <c r="Y5">
        <v>1.2</v>
      </c>
      <c r="Z5" t="str">
        <f>IF(Data!Y5&lt;2.1,"Tertil 1",IF(Data!Y5&lt;=2.6,"Tertil 2","Tertil 3"))</f>
        <v>Tertil 1</v>
      </c>
      <c r="AA5" s="7"/>
    </row>
    <row r="6" spans="2:27">
      <c r="B6">
        <v>5</v>
      </c>
      <c r="C6">
        <v>28</v>
      </c>
      <c r="D6">
        <v>1</v>
      </c>
      <c r="E6" t="s">
        <v>25</v>
      </c>
      <c r="F6" s="5">
        <f t="shared" si="0"/>
        <v>2</v>
      </c>
      <c r="G6">
        <v>76.6</v>
      </c>
      <c r="H6">
        <v>150</v>
      </c>
      <c r="I6" s="6">
        <f t="shared" si="1"/>
        <v>34.0444444444444</v>
      </c>
      <c r="J6" t="s">
        <v>29</v>
      </c>
      <c r="K6">
        <v>3</v>
      </c>
      <c r="L6" t="s">
        <v>0</v>
      </c>
      <c r="M6" t="s">
        <v>0</v>
      </c>
      <c r="N6">
        <v>23.9</v>
      </c>
      <c r="O6" t="str">
        <f>IF(N6&gt;18,"Normal","Abnormal")</f>
        <v>Normal</v>
      </c>
      <c r="P6">
        <v>1</v>
      </c>
      <c r="Q6">
        <v>1.2</v>
      </c>
      <c r="R6" t="s">
        <v>27</v>
      </c>
      <c r="S6">
        <v>1</v>
      </c>
      <c r="T6">
        <v>5.5</v>
      </c>
      <c r="U6" t="s">
        <v>30</v>
      </c>
      <c r="V6">
        <v>2</v>
      </c>
      <c r="W6" t="s">
        <v>31</v>
      </c>
      <c r="X6">
        <v>2</v>
      </c>
      <c r="Y6">
        <v>2.1</v>
      </c>
      <c r="Z6" t="str">
        <f>IF(Data!Y6&lt;2.1,"Tertil 1",IF(Data!Y6&lt;=2.6,"Tertil 2","Tertil 3"))</f>
        <v>Tertil 2</v>
      </c>
    </row>
    <row r="7" spans="2:27">
      <c r="B7">
        <v>6</v>
      </c>
      <c r="C7">
        <v>31</v>
      </c>
      <c r="D7">
        <v>1</v>
      </c>
      <c r="E7" t="s">
        <v>25</v>
      </c>
      <c r="F7" s="5">
        <f t="shared" si="0"/>
        <v>2</v>
      </c>
      <c r="G7">
        <v>71.8</v>
      </c>
      <c r="H7">
        <v>148</v>
      </c>
      <c r="I7" s="6">
        <f t="shared" si="1"/>
        <v>32.7794010226443</v>
      </c>
      <c r="J7" t="s">
        <v>29</v>
      </c>
      <c r="K7">
        <v>3</v>
      </c>
      <c r="L7" t="s">
        <v>0</v>
      </c>
      <c r="M7" t="s">
        <v>0</v>
      </c>
      <c r="N7">
        <v>24.7</v>
      </c>
      <c r="O7" t="str">
        <f>IF(N7&gt;18,"Normal","Abnormal")</f>
        <v>Normal</v>
      </c>
      <c r="P7">
        <v>1</v>
      </c>
      <c r="Q7">
        <v>1.3</v>
      </c>
      <c r="R7" t="s">
        <v>27</v>
      </c>
      <c r="S7">
        <v>1</v>
      </c>
      <c r="T7">
        <v>6</v>
      </c>
      <c r="U7" t="s">
        <v>27</v>
      </c>
      <c r="V7">
        <v>1</v>
      </c>
      <c r="W7" t="s">
        <v>27</v>
      </c>
      <c r="X7">
        <v>1</v>
      </c>
      <c r="Y7">
        <v>1.4</v>
      </c>
      <c r="Z7" t="str">
        <f>IF(Data!Y7&lt;2.1,"Tertil 1",IF(Data!Y7&lt;=2.6,"Tertil 2","Tertil 3"))</f>
        <v>Tertil 1</v>
      </c>
    </row>
    <row r="8" spans="2:27">
      <c r="B8">
        <v>7</v>
      </c>
      <c r="C8">
        <v>37</v>
      </c>
      <c r="D8">
        <v>1</v>
      </c>
      <c r="E8" t="s">
        <v>28</v>
      </c>
      <c r="F8" s="5">
        <f t="shared" si="0"/>
        <v>1</v>
      </c>
      <c r="G8">
        <v>103.6</v>
      </c>
      <c r="H8">
        <v>172</v>
      </c>
      <c r="I8" s="6">
        <f t="shared" si="1"/>
        <v>35.0189291508924</v>
      </c>
      <c r="J8" t="s">
        <v>29</v>
      </c>
      <c r="K8">
        <v>3</v>
      </c>
      <c r="L8" t="s">
        <v>0</v>
      </c>
      <c r="M8" t="s">
        <v>0</v>
      </c>
      <c r="N8">
        <v>46</v>
      </c>
      <c r="O8" t="str">
        <f>IF(N8&gt;28,"Normal","Abnormal")</f>
        <v>Normal</v>
      </c>
      <c r="P8">
        <v>1</v>
      </c>
      <c r="Q8">
        <v>1</v>
      </c>
      <c r="R8" t="s">
        <v>27</v>
      </c>
      <c r="S8">
        <v>1</v>
      </c>
      <c r="T8">
        <v>7.7</v>
      </c>
      <c r="U8" t="s">
        <v>27</v>
      </c>
      <c r="V8">
        <v>1</v>
      </c>
      <c r="W8" t="s">
        <v>27</v>
      </c>
      <c r="X8">
        <v>1</v>
      </c>
      <c r="Y8">
        <v>2.4</v>
      </c>
      <c r="Z8" t="str">
        <f>IF(Data!Y8&lt;2.1,"Tertil 1",IF(Data!Y8&lt;=2.6,"Tertil 2","Tertil 3"))</f>
        <v>Tertil 2</v>
      </c>
    </row>
    <row r="9" spans="2:27">
      <c r="B9">
        <v>8</v>
      </c>
      <c r="C9">
        <v>34</v>
      </c>
      <c r="D9">
        <v>1</v>
      </c>
      <c r="E9" t="s">
        <v>25</v>
      </c>
      <c r="F9" s="5">
        <f t="shared" si="0"/>
        <v>2</v>
      </c>
      <c r="G9">
        <v>133.2</v>
      </c>
      <c r="H9">
        <v>156</v>
      </c>
      <c r="I9" s="6">
        <f t="shared" si="1"/>
        <v>54.7337278106509</v>
      </c>
      <c r="J9" t="s">
        <v>29</v>
      </c>
      <c r="K9">
        <v>3</v>
      </c>
      <c r="L9" t="s">
        <v>0</v>
      </c>
      <c r="M9" t="s">
        <v>0</v>
      </c>
      <c r="N9">
        <v>20.7</v>
      </c>
      <c r="O9" t="str">
        <f>IF(N9&gt;18,"Normal","Abnormal")</f>
        <v>Normal</v>
      </c>
      <c r="P9">
        <v>1</v>
      </c>
      <c r="Q9">
        <v>1</v>
      </c>
      <c r="R9" t="s">
        <v>27</v>
      </c>
      <c r="S9">
        <v>1</v>
      </c>
      <c r="T9">
        <v>3.2</v>
      </c>
      <c r="U9" t="s">
        <v>30</v>
      </c>
      <c r="V9">
        <v>2</v>
      </c>
      <c r="W9" t="s">
        <v>31</v>
      </c>
      <c r="X9">
        <v>2</v>
      </c>
      <c r="Y9">
        <v>3.9</v>
      </c>
      <c r="Z9" t="str">
        <f>IF(Data!Y9&lt;2.1,"Tertil 1",IF(Data!Y9&lt;=2.6,"Tertil 2","Tertil 3"))</f>
        <v>Tertil 3</v>
      </c>
    </row>
    <row r="10" spans="2:27">
      <c r="B10">
        <v>9</v>
      </c>
      <c r="C10">
        <v>30</v>
      </c>
      <c r="D10">
        <v>1</v>
      </c>
      <c r="E10" t="s">
        <v>28</v>
      </c>
      <c r="F10" s="5">
        <f t="shared" si="0"/>
        <v>1</v>
      </c>
      <c r="G10">
        <v>122.6</v>
      </c>
      <c r="H10">
        <v>167</v>
      </c>
      <c r="I10" s="6">
        <f t="shared" si="1"/>
        <v>43.9599842231704</v>
      </c>
      <c r="J10" t="s">
        <v>29</v>
      </c>
      <c r="K10">
        <v>3</v>
      </c>
      <c r="L10" t="s">
        <v>0</v>
      </c>
      <c r="M10" t="s">
        <v>0</v>
      </c>
      <c r="N10">
        <v>57.5</v>
      </c>
      <c r="O10" t="str">
        <f>IF(N10&gt;28,"Normal","Abnormal")</f>
        <v>Normal</v>
      </c>
      <c r="P10">
        <v>1</v>
      </c>
      <c r="Q10">
        <v>1</v>
      </c>
      <c r="R10" t="s">
        <v>27</v>
      </c>
      <c r="S10">
        <v>1</v>
      </c>
      <c r="T10" s="6">
        <v>6.27</v>
      </c>
      <c r="U10" t="str">
        <f>IF(T10&gt;7,"Normal","Abnormal")</f>
        <v>Abnormal</v>
      </c>
      <c r="V10">
        <v>2</v>
      </c>
      <c r="W10" t="s">
        <v>31</v>
      </c>
      <c r="X10">
        <v>2</v>
      </c>
      <c r="Y10">
        <v>1.4</v>
      </c>
      <c r="Z10" t="str">
        <f>IF(Data!Y10&lt;2.1,"Tertil 1",IF(Data!Y10&lt;=2.6,"Tertil 2","Tertil 3"))</f>
        <v>Tertil 1</v>
      </c>
    </row>
    <row r="11" spans="2:27">
      <c r="B11">
        <v>10</v>
      </c>
      <c r="C11">
        <v>31</v>
      </c>
      <c r="D11">
        <v>1</v>
      </c>
      <c r="E11" t="s">
        <v>25</v>
      </c>
      <c r="F11" s="5">
        <f t="shared" si="0"/>
        <v>2</v>
      </c>
      <c r="G11">
        <v>79.9</v>
      </c>
      <c r="H11">
        <v>150</v>
      </c>
      <c r="I11" s="6">
        <f t="shared" si="1"/>
        <v>35.5111111111111</v>
      </c>
      <c r="J11" t="s">
        <v>29</v>
      </c>
      <c r="K11">
        <v>3</v>
      </c>
      <c r="L11" t="s">
        <v>0</v>
      </c>
      <c r="M11" t="s">
        <v>0</v>
      </c>
      <c r="N11">
        <v>24.9</v>
      </c>
      <c r="O11" t="str">
        <f>IF(N11&gt;18,"Normal","Abnormal")</f>
        <v>Normal</v>
      </c>
      <c r="P11">
        <v>1</v>
      </c>
      <c r="Q11">
        <v>1.2</v>
      </c>
      <c r="R11" t="s">
        <v>27</v>
      </c>
      <c r="S11">
        <v>1</v>
      </c>
      <c r="T11" s="6">
        <v>4.96</v>
      </c>
      <c r="U11" t="str">
        <f>IF(T11&gt;5.7,"Normal","Abnormal")</f>
        <v>Abnormal</v>
      </c>
      <c r="V11">
        <v>2</v>
      </c>
      <c r="W11" t="s">
        <v>31</v>
      </c>
      <c r="X11">
        <v>2</v>
      </c>
      <c r="Y11">
        <v>1.9</v>
      </c>
      <c r="Z11" t="str">
        <f>IF(Data!Y11&lt;2.1,"Tertil 1",IF(Data!Y11&lt;=2.6,"Tertil 2","Tertil 3"))</f>
        <v>Tertil 1</v>
      </c>
    </row>
    <row r="12" spans="2:27">
      <c r="B12">
        <v>11</v>
      </c>
      <c r="C12">
        <v>29</v>
      </c>
      <c r="D12">
        <v>1</v>
      </c>
      <c r="E12" t="s">
        <v>25</v>
      </c>
      <c r="F12" s="5">
        <f t="shared" si="0"/>
        <v>2</v>
      </c>
      <c r="G12">
        <v>98.6</v>
      </c>
      <c r="H12">
        <v>164</v>
      </c>
      <c r="I12" s="6">
        <f t="shared" si="1"/>
        <v>36.6597263533611</v>
      </c>
      <c r="J12" t="s">
        <v>29</v>
      </c>
      <c r="K12">
        <v>3</v>
      </c>
      <c r="L12" t="s">
        <v>0</v>
      </c>
      <c r="M12" t="s">
        <v>0</v>
      </c>
      <c r="N12">
        <v>22</v>
      </c>
      <c r="O12" t="str">
        <f>IF(N12&gt;18,"Normal","Abnormal")</f>
        <v>Normal</v>
      </c>
      <c r="P12">
        <v>1</v>
      </c>
      <c r="Q12">
        <v>1.1</v>
      </c>
      <c r="R12" t="str">
        <f t="shared" ref="R12:R43" si="2">IF(Q12&lt;1,"Abnormal","Normal")</f>
        <v>Normal</v>
      </c>
      <c r="S12">
        <v>1</v>
      </c>
      <c r="T12" s="6">
        <v>3.7</v>
      </c>
      <c r="U12" t="str">
        <f>IF(T12&gt;5.7,"Normal","Abnormal")</f>
        <v>Abnormal</v>
      </c>
      <c r="V12">
        <v>2</v>
      </c>
      <c r="W12" t="s">
        <v>31</v>
      </c>
      <c r="X12">
        <v>2</v>
      </c>
      <c r="Y12">
        <v>8.5</v>
      </c>
      <c r="Z12" t="str">
        <f>IF(Data!Y12&lt;2.1,"Tertil 1",IF(Data!Y12&lt;=2.6,"Tertil 2","Tertil 3"))</f>
        <v>Tertil 3</v>
      </c>
    </row>
    <row r="13" spans="2:27">
      <c r="B13">
        <v>12</v>
      </c>
      <c r="C13">
        <v>31</v>
      </c>
      <c r="D13">
        <v>1</v>
      </c>
      <c r="E13" t="s">
        <v>28</v>
      </c>
      <c r="F13" s="5">
        <f t="shared" si="0"/>
        <v>1</v>
      </c>
      <c r="G13">
        <v>82.1</v>
      </c>
      <c r="H13">
        <v>163</v>
      </c>
      <c r="I13" s="6">
        <f t="shared" si="1"/>
        <v>30.9006737174903</v>
      </c>
      <c r="J13" t="s">
        <v>29</v>
      </c>
      <c r="K13">
        <v>3</v>
      </c>
      <c r="L13" t="s">
        <v>0</v>
      </c>
      <c r="M13" t="s">
        <v>0</v>
      </c>
      <c r="N13">
        <v>42</v>
      </c>
      <c r="O13" t="str">
        <f>IF(N13&gt;28,"Normal","Abnormal")</f>
        <v>Normal</v>
      </c>
      <c r="P13">
        <v>1</v>
      </c>
      <c r="Q13">
        <v>1.3</v>
      </c>
      <c r="R13" t="str">
        <f t="shared" si="2"/>
        <v>Normal</v>
      </c>
      <c r="S13">
        <v>1</v>
      </c>
      <c r="T13" s="6">
        <v>8.31</v>
      </c>
      <c r="U13" t="str">
        <f>IF(T13&gt;7,"Normal","Abnormal")</f>
        <v>Normal</v>
      </c>
      <c r="V13">
        <v>1</v>
      </c>
      <c r="W13" t="s">
        <v>27</v>
      </c>
      <c r="X13">
        <v>1</v>
      </c>
      <c r="Y13">
        <v>20.6</v>
      </c>
      <c r="Z13" t="str">
        <f>IF(Data!Y13&lt;2.1,"Tertil 1",IF(Data!Y13&lt;=2.6,"Tertil 2","Tertil 3"))</f>
        <v>Tertil 3</v>
      </c>
    </row>
    <row r="14" spans="2:27">
      <c r="B14">
        <v>13</v>
      </c>
      <c r="C14">
        <v>36</v>
      </c>
      <c r="D14">
        <v>1</v>
      </c>
      <c r="E14" t="s">
        <v>25</v>
      </c>
      <c r="F14" s="5">
        <f t="shared" si="0"/>
        <v>2</v>
      </c>
      <c r="G14">
        <v>68.7</v>
      </c>
      <c r="H14">
        <v>153</v>
      </c>
      <c r="I14" s="6">
        <f t="shared" si="1"/>
        <v>29.3476867871332</v>
      </c>
      <c r="J14" t="s">
        <v>26</v>
      </c>
      <c r="K14">
        <v>2</v>
      </c>
      <c r="L14" t="s">
        <v>0</v>
      </c>
      <c r="M14" t="s">
        <v>0</v>
      </c>
      <c r="N14">
        <v>28</v>
      </c>
      <c r="O14" t="str">
        <f>IF(N14&gt;18,"Normal","Abnormal")</f>
        <v>Normal</v>
      </c>
      <c r="P14">
        <v>1</v>
      </c>
      <c r="Q14">
        <v>1.1</v>
      </c>
      <c r="R14" t="str">
        <f t="shared" si="2"/>
        <v>Normal</v>
      </c>
      <c r="S14">
        <v>1</v>
      </c>
      <c r="T14" s="6">
        <v>6.41</v>
      </c>
      <c r="U14" t="str">
        <f>IF(T14&gt;5.7,"Normal","Abnormal")</f>
        <v>Normal</v>
      </c>
      <c r="V14">
        <v>1</v>
      </c>
      <c r="W14" t="s">
        <v>27</v>
      </c>
      <c r="X14">
        <v>1</v>
      </c>
      <c r="Y14">
        <v>1.4</v>
      </c>
      <c r="Z14" t="str">
        <f>IF(Data!Y14&lt;2.1,"Tertil 1",IF(Data!Y14&lt;=2.6,"Tertil 2","Tertil 3"))</f>
        <v>Tertil 1</v>
      </c>
    </row>
    <row r="15" spans="2:27">
      <c r="B15">
        <v>14</v>
      </c>
      <c r="C15">
        <v>29</v>
      </c>
      <c r="D15">
        <v>1</v>
      </c>
      <c r="E15" t="s">
        <v>28</v>
      </c>
      <c r="F15" s="5">
        <f t="shared" si="0"/>
        <v>1</v>
      </c>
      <c r="G15">
        <v>78.6</v>
      </c>
      <c r="H15">
        <v>162</v>
      </c>
      <c r="I15" s="6">
        <f t="shared" si="1"/>
        <v>29.949702789209</v>
      </c>
      <c r="J15" t="s">
        <v>26</v>
      </c>
      <c r="K15">
        <v>2</v>
      </c>
      <c r="L15" t="s">
        <v>0</v>
      </c>
      <c r="M15" t="s">
        <v>0</v>
      </c>
      <c r="N15">
        <v>32.8</v>
      </c>
      <c r="O15" t="str">
        <f>IF(N15&gt;28,"Normal","Abnormal")</f>
        <v>Normal</v>
      </c>
      <c r="P15">
        <v>1</v>
      </c>
      <c r="Q15">
        <v>1.2</v>
      </c>
      <c r="R15" t="str">
        <f t="shared" si="2"/>
        <v>Normal</v>
      </c>
      <c r="S15">
        <v>1</v>
      </c>
      <c r="T15" s="6">
        <v>8.37</v>
      </c>
      <c r="U15" t="str">
        <f>IF(T15&gt;7,"Normal","Abnormal")</f>
        <v>Normal</v>
      </c>
      <c r="V15">
        <v>1</v>
      </c>
      <c r="W15" t="s">
        <v>27</v>
      </c>
      <c r="X15">
        <v>1</v>
      </c>
      <c r="Y15">
        <v>5.3</v>
      </c>
      <c r="Z15" t="str">
        <f>IF(Data!Y15&lt;2.1,"Tertil 1",IF(Data!Y15&lt;=2.6,"Tertil 2","Tertil 3"))</f>
        <v>Tertil 3</v>
      </c>
    </row>
    <row r="16" spans="2:27">
      <c r="B16">
        <v>15</v>
      </c>
      <c r="C16">
        <v>28</v>
      </c>
      <c r="D16">
        <v>1</v>
      </c>
      <c r="E16" t="s">
        <v>28</v>
      </c>
      <c r="F16" s="5">
        <f t="shared" si="0"/>
        <v>1</v>
      </c>
      <c r="G16">
        <v>96.7</v>
      </c>
      <c r="H16">
        <v>168</v>
      </c>
      <c r="I16" s="6">
        <f t="shared" si="1"/>
        <v>34.2616213151927</v>
      </c>
      <c r="J16" t="s">
        <v>29</v>
      </c>
      <c r="K16">
        <v>3</v>
      </c>
      <c r="L16" t="s">
        <v>0</v>
      </c>
      <c r="M16" t="s">
        <v>0</v>
      </c>
      <c r="N16">
        <v>37</v>
      </c>
      <c r="O16" t="str">
        <f>IF(N16&gt;28,"Normal","Abnormal")</f>
        <v>Normal</v>
      </c>
      <c r="P16">
        <v>1</v>
      </c>
      <c r="Q16">
        <v>1.2</v>
      </c>
      <c r="R16" t="str">
        <f t="shared" si="2"/>
        <v>Normal</v>
      </c>
      <c r="S16">
        <v>1</v>
      </c>
      <c r="T16" s="6">
        <v>4.5</v>
      </c>
      <c r="U16" t="str">
        <f>IF(T16&gt;7,"Normal","Abnormal")</f>
        <v>Abnormal</v>
      </c>
      <c r="V16">
        <v>2</v>
      </c>
      <c r="W16" t="s">
        <v>31</v>
      </c>
      <c r="X16">
        <v>2</v>
      </c>
      <c r="Y16">
        <v>2.9</v>
      </c>
      <c r="Z16" t="str">
        <f>IF(Data!Y16&lt;2.1,"Tertil 1",IF(Data!Y16&lt;=2.6,"Tertil 2","Tertil 3"))</f>
        <v>Tertil 3</v>
      </c>
    </row>
    <row r="17" spans="2:26">
      <c r="B17">
        <v>16</v>
      </c>
      <c r="C17">
        <v>27</v>
      </c>
      <c r="D17">
        <v>1</v>
      </c>
      <c r="E17" t="s">
        <v>28</v>
      </c>
      <c r="F17" s="5">
        <f t="shared" si="0"/>
        <v>1</v>
      </c>
      <c r="G17">
        <v>105.8</v>
      </c>
      <c r="H17">
        <v>174</v>
      </c>
      <c r="I17" s="6">
        <f t="shared" si="1"/>
        <v>34.9451710926146</v>
      </c>
      <c r="J17" t="s">
        <v>29</v>
      </c>
      <c r="K17">
        <v>3</v>
      </c>
      <c r="L17" t="s">
        <v>0</v>
      </c>
      <c r="M17" t="s">
        <v>0</v>
      </c>
      <c r="N17">
        <v>40.2</v>
      </c>
      <c r="O17" t="str">
        <f>IF(N17&gt;28,"Normal","Abnormal")</f>
        <v>Normal</v>
      </c>
      <c r="P17">
        <v>1</v>
      </c>
      <c r="Q17">
        <v>1.1</v>
      </c>
      <c r="R17" t="str">
        <f t="shared" si="2"/>
        <v>Normal</v>
      </c>
      <c r="S17">
        <v>1</v>
      </c>
      <c r="T17" s="6">
        <v>7.84</v>
      </c>
      <c r="U17" t="str">
        <f>IF(T17&gt;7,"Normal","Abnormal")</f>
        <v>Normal</v>
      </c>
      <c r="V17">
        <v>1</v>
      </c>
      <c r="W17" t="s">
        <v>27</v>
      </c>
      <c r="X17">
        <v>1</v>
      </c>
      <c r="Y17">
        <v>2.8</v>
      </c>
      <c r="Z17" t="str">
        <f>IF(Data!Y17&lt;2.1,"Tertil 1",IF(Data!Y17&lt;=2.6,"Tertil 2","Tertil 3"))</f>
        <v>Tertil 3</v>
      </c>
    </row>
    <row r="18" spans="2:26">
      <c r="B18">
        <v>17</v>
      </c>
      <c r="C18">
        <v>31</v>
      </c>
      <c r="D18">
        <v>1</v>
      </c>
      <c r="E18" t="s">
        <v>28</v>
      </c>
      <c r="F18" s="5">
        <f t="shared" si="0"/>
        <v>1</v>
      </c>
      <c r="G18">
        <v>105</v>
      </c>
      <c r="H18">
        <v>175</v>
      </c>
      <c r="I18" s="6">
        <f t="shared" si="1"/>
        <v>34.2857142857143</v>
      </c>
      <c r="J18" t="s">
        <v>29</v>
      </c>
      <c r="K18">
        <v>3</v>
      </c>
      <c r="L18" t="s">
        <v>0</v>
      </c>
      <c r="M18" t="s">
        <v>0</v>
      </c>
      <c r="N18">
        <v>42</v>
      </c>
      <c r="O18" t="str">
        <f>IF(N18&gt;28,"Normal","Abnormal")</f>
        <v>Normal</v>
      </c>
      <c r="P18">
        <v>1</v>
      </c>
      <c r="Q18">
        <v>1</v>
      </c>
      <c r="R18" t="str">
        <f t="shared" si="2"/>
        <v>Normal</v>
      </c>
      <c r="S18">
        <v>1</v>
      </c>
      <c r="T18" s="6">
        <v>7.05</v>
      </c>
      <c r="U18" t="str">
        <f>IF(T18&gt;7,"Normal","Abnormal")</f>
        <v>Normal</v>
      </c>
      <c r="V18">
        <v>1</v>
      </c>
      <c r="W18" t="s">
        <v>27</v>
      </c>
      <c r="X18">
        <v>1</v>
      </c>
      <c r="Y18">
        <v>1.5</v>
      </c>
      <c r="Z18" t="str">
        <f>IF(Data!Y18&lt;2.1,"Tertil 1",IF(Data!Y18&lt;=2.6,"Tertil 2","Tertil 3"))</f>
        <v>Tertil 1</v>
      </c>
    </row>
    <row r="19" spans="2:26">
      <c r="B19">
        <v>18</v>
      </c>
      <c r="C19">
        <v>34</v>
      </c>
      <c r="D19">
        <v>1</v>
      </c>
      <c r="E19" t="s">
        <v>25</v>
      </c>
      <c r="F19" s="5">
        <f t="shared" si="0"/>
        <v>2</v>
      </c>
      <c r="G19">
        <v>71.6</v>
      </c>
      <c r="H19">
        <v>150</v>
      </c>
      <c r="I19" s="6">
        <f t="shared" si="1"/>
        <v>31.8222222222222</v>
      </c>
      <c r="J19" t="s">
        <v>29</v>
      </c>
      <c r="K19">
        <v>3</v>
      </c>
      <c r="L19" t="s">
        <v>0</v>
      </c>
      <c r="M19" t="s">
        <v>0</v>
      </c>
      <c r="N19">
        <v>28</v>
      </c>
      <c r="O19" t="str">
        <f t="shared" ref="O19:O26" si="3">IF(N19&gt;18,"Normal","Abnormal")</f>
        <v>Normal</v>
      </c>
      <c r="P19">
        <v>1</v>
      </c>
      <c r="Q19">
        <v>1</v>
      </c>
      <c r="R19" t="str">
        <f t="shared" si="2"/>
        <v>Normal</v>
      </c>
      <c r="S19">
        <v>1</v>
      </c>
      <c r="T19" s="6">
        <v>7.73</v>
      </c>
      <c r="U19" t="str">
        <f t="shared" ref="U19:U26" si="4">IF(T19&gt;5.7,"Normal","Abnormal")</f>
        <v>Normal</v>
      </c>
      <c r="V19">
        <v>1</v>
      </c>
      <c r="W19" t="s">
        <v>27</v>
      </c>
      <c r="X19">
        <v>1</v>
      </c>
      <c r="Y19">
        <v>1.9</v>
      </c>
      <c r="Z19" t="str">
        <f>IF(Data!Y19&lt;2.1,"Tertil 1",IF(Data!Y19&lt;=2.6,"Tertil 2","Tertil 3"))</f>
        <v>Tertil 1</v>
      </c>
    </row>
    <row r="20" spans="2:26">
      <c r="B20">
        <v>19</v>
      </c>
      <c r="C20">
        <v>37</v>
      </c>
      <c r="D20">
        <v>1</v>
      </c>
      <c r="E20" t="s">
        <v>25</v>
      </c>
      <c r="F20" s="5">
        <f t="shared" si="0"/>
        <v>2</v>
      </c>
      <c r="G20">
        <v>80.5</v>
      </c>
      <c r="H20">
        <v>165</v>
      </c>
      <c r="I20" s="6">
        <f t="shared" si="1"/>
        <v>29.5684113865932</v>
      </c>
      <c r="J20" t="s">
        <v>26</v>
      </c>
      <c r="K20">
        <v>2</v>
      </c>
      <c r="L20" t="s">
        <v>0</v>
      </c>
      <c r="M20" t="s">
        <v>0</v>
      </c>
      <c r="N20">
        <v>27.9</v>
      </c>
      <c r="O20" t="str">
        <f t="shared" si="3"/>
        <v>Normal</v>
      </c>
      <c r="P20">
        <v>1</v>
      </c>
      <c r="Q20">
        <v>1.1</v>
      </c>
      <c r="R20" t="str">
        <f t="shared" si="2"/>
        <v>Normal</v>
      </c>
      <c r="S20">
        <v>1</v>
      </c>
      <c r="T20" s="6">
        <v>5.44</v>
      </c>
      <c r="U20" t="str">
        <f t="shared" si="4"/>
        <v>Abnormal</v>
      </c>
      <c r="V20">
        <v>2</v>
      </c>
      <c r="W20" t="s">
        <v>31</v>
      </c>
      <c r="X20">
        <v>2</v>
      </c>
      <c r="Y20">
        <v>2.1</v>
      </c>
      <c r="Z20" t="str">
        <f>IF(Data!Y20&lt;2.1,"Tertil 1",IF(Data!Y20&lt;=2.6,"Tertil 2","Tertil 3"))</f>
        <v>Tertil 2</v>
      </c>
    </row>
    <row r="21" spans="2:26">
      <c r="B21">
        <v>20</v>
      </c>
      <c r="C21">
        <v>41</v>
      </c>
      <c r="D21">
        <v>2</v>
      </c>
      <c r="E21" t="s">
        <v>25</v>
      </c>
      <c r="F21" s="5">
        <f t="shared" si="0"/>
        <v>2</v>
      </c>
      <c r="G21">
        <v>72.4</v>
      </c>
      <c r="H21">
        <v>152</v>
      </c>
      <c r="I21" s="6">
        <f t="shared" si="1"/>
        <v>31.3365650969529</v>
      </c>
      <c r="J21" t="s">
        <v>29</v>
      </c>
      <c r="K21">
        <v>3</v>
      </c>
      <c r="L21" t="s">
        <v>0</v>
      </c>
      <c r="M21" t="s">
        <v>32</v>
      </c>
      <c r="N21">
        <v>21</v>
      </c>
      <c r="O21" t="str">
        <f t="shared" si="3"/>
        <v>Normal</v>
      </c>
      <c r="P21">
        <v>1</v>
      </c>
      <c r="Q21">
        <v>1</v>
      </c>
      <c r="R21" t="str">
        <f t="shared" si="2"/>
        <v>Normal</v>
      </c>
      <c r="S21">
        <v>1</v>
      </c>
      <c r="T21" s="6">
        <v>11.98</v>
      </c>
      <c r="U21" t="str">
        <f t="shared" si="4"/>
        <v>Normal</v>
      </c>
      <c r="V21">
        <v>1</v>
      </c>
      <c r="W21" t="s">
        <v>27</v>
      </c>
      <c r="X21">
        <v>1</v>
      </c>
      <c r="Y21">
        <v>4.1</v>
      </c>
      <c r="Z21" t="str">
        <f>IF(Data!Y21&lt;2.1,"Tertil 1",IF(Data!Y21&lt;=2.6,"Tertil 2","Tertil 3"))</f>
        <v>Tertil 3</v>
      </c>
    </row>
    <row r="22" spans="2:26">
      <c r="B22">
        <v>21</v>
      </c>
      <c r="C22">
        <v>35</v>
      </c>
      <c r="D22">
        <v>1</v>
      </c>
      <c r="E22" t="s">
        <v>25</v>
      </c>
      <c r="F22" s="5">
        <f t="shared" si="0"/>
        <v>2</v>
      </c>
      <c r="G22">
        <v>72</v>
      </c>
      <c r="H22">
        <v>150</v>
      </c>
      <c r="I22" s="6">
        <f t="shared" si="1"/>
        <v>32</v>
      </c>
      <c r="J22" t="s">
        <v>29</v>
      </c>
      <c r="K22">
        <v>3</v>
      </c>
      <c r="L22" t="s">
        <v>0</v>
      </c>
      <c r="M22" t="s">
        <v>0</v>
      </c>
      <c r="N22">
        <v>20</v>
      </c>
      <c r="O22" t="str">
        <f t="shared" si="3"/>
        <v>Normal</v>
      </c>
      <c r="P22">
        <v>1</v>
      </c>
      <c r="Q22">
        <v>1.1</v>
      </c>
      <c r="R22" t="str">
        <f t="shared" si="2"/>
        <v>Normal</v>
      </c>
      <c r="S22">
        <v>1</v>
      </c>
      <c r="T22" s="6">
        <v>4.75</v>
      </c>
      <c r="U22" t="str">
        <f t="shared" si="4"/>
        <v>Abnormal</v>
      </c>
      <c r="V22">
        <v>2</v>
      </c>
      <c r="W22" t="s">
        <v>31</v>
      </c>
      <c r="X22">
        <v>2</v>
      </c>
      <c r="Y22">
        <v>2.5</v>
      </c>
      <c r="Z22" t="str">
        <f>IF(Data!Y22&lt;2.1,"Tertil 1",IF(Data!Y22&lt;=2.6,"Tertil 2","Tertil 3"))</f>
        <v>Tertil 2</v>
      </c>
    </row>
    <row r="23" spans="2:26">
      <c r="B23">
        <v>22</v>
      </c>
      <c r="C23">
        <v>31</v>
      </c>
      <c r="D23">
        <v>1</v>
      </c>
      <c r="E23" t="s">
        <v>25</v>
      </c>
      <c r="F23" s="5">
        <f t="shared" si="0"/>
        <v>2</v>
      </c>
      <c r="G23">
        <v>70</v>
      </c>
      <c r="H23">
        <v>157</v>
      </c>
      <c r="I23" s="6">
        <f t="shared" si="1"/>
        <v>28.3987180007303</v>
      </c>
      <c r="J23" t="s">
        <v>26</v>
      </c>
      <c r="K23">
        <v>2</v>
      </c>
      <c r="L23" t="s">
        <v>0</v>
      </c>
      <c r="M23" t="s">
        <v>0</v>
      </c>
      <c r="N23">
        <v>23</v>
      </c>
      <c r="O23" t="str">
        <f t="shared" si="3"/>
        <v>Normal</v>
      </c>
      <c r="P23">
        <v>1</v>
      </c>
      <c r="Q23">
        <v>1.2</v>
      </c>
      <c r="R23" t="str">
        <f t="shared" si="2"/>
        <v>Normal</v>
      </c>
      <c r="S23">
        <v>1</v>
      </c>
      <c r="T23" s="6">
        <v>5.2</v>
      </c>
      <c r="U23" t="str">
        <f t="shared" si="4"/>
        <v>Abnormal</v>
      </c>
      <c r="V23">
        <v>2</v>
      </c>
      <c r="W23" t="s">
        <v>31</v>
      </c>
      <c r="X23">
        <v>2</v>
      </c>
      <c r="Y23">
        <v>1.9</v>
      </c>
      <c r="Z23" t="str">
        <f>IF(Data!Y23&lt;2.1,"Tertil 1",IF(Data!Y23&lt;=2.6,"Tertil 2","Tertil 3"))</f>
        <v>Tertil 1</v>
      </c>
    </row>
    <row r="24" spans="2:26">
      <c r="B24">
        <v>23</v>
      </c>
      <c r="C24">
        <v>50</v>
      </c>
      <c r="D24">
        <v>3</v>
      </c>
      <c r="E24" t="s">
        <v>25</v>
      </c>
      <c r="F24" s="5">
        <f t="shared" si="0"/>
        <v>2</v>
      </c>
      <c r="G24">
        <v>75</v>
      </c>
      <c r="H24">
        <v>155</v>
      </c>
      <c r="I24" s="6">
        <f t="shared" si="1"/>
        <v>31.2174817898023</v>
      </c>
      <c r="J24" t="s">
        <v>26</v>
      </c>
      <c r="K24">
        <v>2</v>
      </c>
      <c r="L24" t="s">
        <v>0</v>
      </c>
      <c r="M24" t="s">
        <v>0</v>
      </c>
      <c r="N24">
        <v>17.3</v>
      </c>
      <c r="O24" t="str">
        <f t="shared" si="3"/>
        <v>Abnormal</v>
      </c>
      <c r="P24">
        <v>2</v>
      </c>
      <c r="Q24">
        <v>1</v>
      </c>
      <c r="R24" t="str">
        <f t="shared" si="2"/>
        <v>Normal</v>
      </c>
      <c r="S24">
        <v>1</v>
      </c>
      <c r="T24" s="6">
        <v>5.26</v>
      </c>
      <c r="U24" t="str">
        <f t="shared" si="4"/>
        <v>Abnormal</v>
      </c>
      <c r="V24">
        <v>2</v>
      </c>
      <c r="W24" t="s">
        <v>22</v>
      </c>
      <c r="X24">
        <v>3</v>
      </c>
      <c r="Y24">
        <v>1.6</v>
      </c>
      <c r="Z24" t="str">
        <f>IF(Data!Y24&lt;2.1,"Tertil 1",IF(Data!Y24&lt;=2.6,"Tertil 2","Tertil 3"))</f>
        <v>Tertil 1</v>
      </c>
    </row>
    <row r="25" spans="2:26">
      <c r="B25">
        <v>24</v>
      </c>
      <c r="C25">
        <v>62</v>
      </c>
      <c r="D25" s="8">
        <v>4</v>
      </c>
      <c r="E25" t="s">
        <v>25</v>
      </c>
      <c r="F25" s="5">
        <f t="shared" si="0"/>
        <v>2</v>
      </c>
      <c r="G25">
        <v>65</v>
      </c>
      <c r="H25">
        <v>155</v>
      </c>
      <c r="I25" s="6">
        <f t="shared" si="1"/>
        <v>27.0551508844953</v>
      </c>
      <c r="J25" t="s">
        <v>26</v>
      </c>
      <c r="K25">
        <v>2</v>
      </c>
      <c r="L25" t="s">
        <v>32</v>
      </c>
      <c r="M25" t="s">
        <v>0</v>
      </c>
      <c r="N25">
        <v>17.3</v>
      </c>
      <c r="O25" t="str">
        <f t="shared" si="3"/>
        <v>Abnormal</v>
      </c>
      <c r="P25">
        <v>2</v>
      </c>
      <c r="Q25">
        <v>0.9</v>
      </c>
      <c r="R25" t="str">
        <f t="shared" si="2"/>
        <v>Abnormal</v>
      </c>
      <c r="S25">
        <v>2</v>
      </c>
      <c r="T25" s="6">
        <v>4.64</v>
      </c>
      <c r="U25" t="str">
        <f t="shared" si="4"/>
        <v>Abnormal</v>
      </c>
      <c r="V25">
        <v>2</v>
      </c>
      <c r="W25" t="s">
        <v>33</v>
      </c>
      <c r="X25">
        <v>4</v>
      </c>
      <c r="Y25">
        <v>2.1</v>
      </c>
      <c r="Z25" t="str">
        <f>IF(Data!Y25&lt;2.1,"Tertil 1",IF(Data!Y25&lt;=2.6,"Tertil 2","Tertil 3"))</f>
        <v>Tertil 2</v>
      </c>
    </row>
    <row r="26" spans="2:26">
      <c r="B26">
        <v>25</v>
      </c>
      <c r="C26">
        <v>40</v>
      </c>
      <c r="D26">
        <v>2</v>
      </c>
      <c r="E26" t="s">
        <v>25</v>
      </c>
      <c r="F26" s="5">
        <f t="shared" si="0"/>
        <v>2</v>
      </c>
      <c r="G26">
        <v>83.2</v>
      </c>
      <c r="H26">
        <v>150</v>
      </c>
      <c r="I26" s="6">
        <f t="shared" si="1"/>
        <v>36.9777777777778</v>
      </c>
      <c r="J26" t="s">
        <v>29</v>
      </c>
      <c r="K26">
        <v>3</v>
      </c>
      <c r="L26" t="s">
        <v>0</v>
      </c>
      <c r="M26" t="s">
        <v>0</v>
      </c>
      <c r="N26">
        <v>16</v>
      </c>
      <c r="O26" t="str">
        <f t="shared" si="3"/>
        <v>Abnormal</v>
      </c>
      <c r="P26">
        <v>2</v>
      </c>
      <c r="Q26">
        <v>0.8</v>
      </c>
      <c r="R26" t="str">
        <f t="shared" si="2"/>
        <v>Abnormal</v>
      </c>
      <c r="S26">
        <v>2</v>
      </c>
      <c r="T26" s="6">
        <v>4.7</v>
      </c>
      <c r="U26" t="str">
        <f t="shared" si="4"/>
        <v>Abnormal</v>
      </c>
      <c r="V26">
        <v>2</v>
      </c>
      <c r="W26" t="s">
        <v>33</v>
      </c>
      <c r="X26">
        <v>4</v>
      </c>
      <c r="Y26">
        <v>2.6</v>
      </c>
      <c r="Z26" t="str">
        <f>IF(Data!Y26&lt;2.1,"Tertil 1",IF(Data!Y26&lt;=2.6,"Tertil 2","Tertil 3"))</f>
        <v>Tertil 2</v>
      </c>
    </row>
    <row r="27" spans="2:26">
      <c r="B27">
        <v>26</v>
      </c>
      <c r="C27">
        <v>41</v>
      </c>
      <c r="D27">
        <v>2</v>
      </c>
      <c r="E27" t="s">
        <v>28</v>
      </c>
      <c r="F27" s="5">
        <f t="shared" si="0"/>
        <v>1</v>
      </c>
      <c r="G27">
        <v>74.7</v>
      </c>
      <c r="H27">
        <v>160</v>
      </c>
      <c r="I27" s="6">
        <f t="shared" si="1"/>
        <v>29.1796875</v>
      </c>
      <c r="J27" t="s">
        <v>26</v>
      </c>
      <c r="K27">
        <v>2</v>
      </c>
      <c r="L27" t="s">
        <v>0</v>
      </c>
      <c r="M27" t="s">
        <v>0</v>
      </c>
      <c r="N27">
        <v>50.9</v>
      </c>
      <c r="O27" t="str">
        <f>IF(N27&gt;28,"Normal","Abnormal")</f>
        <v>Normal</v>
      </c>
      <c r="P27">
        <v>1</v>
      </c>
      <c r="Q27">
        <v>1.2</v>
      </c>
      <c r="R27" t="str">
        <f t="shared" si="2"/>
        <v>Normal</v>
      </c>
      <c r="S27">
        <v>1</v>
      </c>
      <c r="T27" s="6">
        <v>9.26</v>
      </c>
      <c r="U27" t="str">
        <f>IF(T27&gt;7,"Normal","Abnormal")</f>
        <v>Normal</v>
      </c>
      <c r="V27">
        <v>1</v>
      </c>
      <c r="W27" t="s">
        <v>27</v>
      </c>
      <c r="X27">
        <v>1</v>
      </c>
      <c r="Y27">
        <v>1.1</v>
      </c>
      <c r="Z27" t="str">
        <f>IF(Data!Y27&lt;2.1,"Tertil 1",IF(Data!Y27&lt;=2.6,"Tertil 2","Tertil 3"))</f>
        <v>Tertil 1</v>
      </c>
    </row>
    <row r="28" spans="2:26">
      <c r="B28">
        <v>27</v>
      </c>
      <c r="C28">
        <v>69</v>
      </c>
      <c r="D28" s="8">
        <v>4</v>
      </c>
      <c r="E28" t="s">
        <v>28</v>
      </c>
      <c r="F28" s="5">
        <f t="shared" si="0"/>
        <v>1</v>
      </c>
      <c r="G28">
        <v>70</v>
      </c>
      <c r="H28">
        <v>166</v>
      </c>
      <c r="I28" s="6">
        <f t="shared" si="1"/>
        <v>25.4028160836116</v>
      </c>
      <c r="J28" t="s">
        <v>26</v>
      </c>
      <c r="K28">
        <v>2</v>
      </c>
      <c r="L28" t="s">
        <v>32</v>
      </c>
      <c r="M28" t="s">
        <v>32</v>
      </c>
      <c r="N28">
        <v>29</v>
      </c>
      <c r="O28" t="str">
        <f>IF(N28&gt;28,"Normal","Abnormal")</f>
        <v>Normal</v>
      </c>
      <c r="P28">
        <v>1</v>
      </c>
      <c r="Q28">
        <v>1</v>
      </c>
      <c r="R28" t="str">
        <f t="shared" si="2"/>
        <v>Normal</v>
      </c>
      <c r="S28">
        <v>1</v>
      </c>
      <c r="T28" s="6">
        <v>8.5</v>
      </c>
      <c r="U28" t="str">
        <f>IF(T28&gt;7,"Normal","Abnormal")</f>
        <v>Normal</v>
      </c>
      <c r="V28">
        <v>1</v>
      </c>
      <c r="W28" t="s">
        <v>27</v>
      </c>
      <c r="X28">
        <v>1</v>
      </c>
      <c r="Y28">
        <v>1.5</v>
      </c>
      <c r="Z28" t="str">
        <f>IF(Data!Y28&lt;2.1,"Tertil 1",IF(Data!Y28&lt;=2.6,"Tertil 2","Tertil 3"))</f>
        <v>Tertil 1</v>
      </c>
    </row>
    <row r="29" spans="2:26">
      <c r="B29">
        <v>28</v>
      </c>
      <c r="C29">
        <v>62</v>
      </c>
      <c r="D29" s="8">
        <v>4</v>
      </c>
      <c r="E29" t="s">
        <v>25</v>
      </c>
      <c r="F29" s="5">
        <f t="shared" si="0"/>
        <v>2</v>
      </c>
      <c r="G29">
        <v>70</v>
      </c>
      <c r="H29">
        <v>155</v>
      </c>
      <c r="I29" s="6">
        <f t="shared" si="1"/>
        <v>29.1363163371488</v>
      </c>
      <c r="J29" t="s">
        <v>26</v>
      </c>
      <c r="K29">
        <v>2</v>
      </c>
      <c r="L29" t="s">
        <v>32</v>
      </c>
      <c r="M29" t="s">
        <v>32</v>
      </c>
      <c r="N29">
        <v>20</v>
      </c>
      <c r="O29" t="str">
        <f>IF(N29&gt;18,"Normal","Abnormal")</f>
        <v>Normal</v>
      </c>
      <c r="P29">
        <v>1</v>
      </c>
      <c r="Q29">
        <v>1</v>
      </c>
      <c r="R29" t="str">
        <f t="shared" si="2"/>
        <v>Normal</v>
      </c>
      <c r="S29">
        <v>1</v>
      </c>
      <c r="T29" s="6">
        <v>5.5</v>
      </c>
      <c r="U29" t="str">
        <f>IF(T29&gt;5.7,"Normal","Abnormal")</f>
        <v>Abnormal</v>
      </c>
      <c r="V29">
        <v>2</v>
      </c>
      <c r="W29" t="s">
        <v>31</v>
      </c>
      <c r="X29">
        <v>2</v>
      </c>
      <c r="Y29">
        <v>2</v>
      </c>
      <c r="Z29" t="str">
        <f>IF(Data!Y29&lt;2.1,"Tertil 1",IF(Data!Y29&lt;=2.6,"Tertil 2","Tertil 3"))</f>
        <v>Tertil 1</v>
      </c>
    </row>
    <row r="30" spans="2:26">
      <c r="B30">
        <v>29</v>
      </c>
      <c r="C30">
        <v>63</v>
      </c>
      <c r="D30" s="8">
        <v>4</v>
      </c>
      <c r="E30" t="s">
        <v>25</v>
      </c>
      <c r="F30" s="5">
        <f t="shared" si="0"/>
        <v>2</v>
      </c>
      <c r="G30">
        <v>70</v>
      </c>
      <c r="H30">
        <v>150</v>
      </c>
      <c r="I30" s="6">
        <f t="shared" si="1"/>
        <v>31.1111111111111</v>
      </c>
      <c r="J30" t="s">
        <v>29</v>
      </c>
      <c r="K30">
        <v>3</v>
      </c>
      <c r="L30" t="s">
        <v>0</v>
      </c>
      <c r="M30" t="s">
        <v>32</v>
      </c>
      <c r="N30">
        <v>20.7</v>
      </c>
      <c r="O30" t="str">
        <f>IF(N30&gt;18,"Normal","Abnormal")</f>
        <v>Normal</v>
      </c>
      <c r="P30">
        <v>1</v>
      </c>
      <c r="Q30">
        <v>1</v>
      </c>
      <c r="R30" t="str">
        <f t="shared" si="2"/>
        <v>Normal</v>
      </c>
      <c r="S30">
        <v>1</v>
      </c>
      <c r="T30" s="6">
        <v>4</v>
      </c>
      <c r="U30" t="str">
        <f>IF(T30&gt;5.7,"Normal","Abnormal")</f>
        <v>Abnormal</v>
      </c>
      <c r="V30">
        <v>2</v>
      </c>
      <c r="W30" t="s">
        <v>31</v>
      </c>
      <c r="X30">
        <v>2</v>
      </c>
      <c r="Y30">
        <v>2.45</v>
      </c>
      <c r="Z30" t="str">
        <f>IF(Data!Y30&lt;2.1,"Tertil 1",IF(Data!Y30&lt;=2.6,"Tertil 2","Tertil 3"))</f>
        <v>Tertil 2</v>
      </c>
    </row>
    <row r="31" spans="2:26">
      <c r="B31">
        <v>30</v>
      </c>
      <c r="C31">
        <v>63</v>
      </c>
      <c r="D31" s="8">
        <v>4</v>
      </c>
      <c r="E31" t="s">
        <v>28</v>
      </c>
      <c r="F31" s="5">
        <f t="shared" si="0"/>
        <v>1</v>
      </c>
      <c r="G31">
        <v>76</v>
      </c>
      <c r="H31">
        <v>160</v>
      </c>
      <c r="I31" s="6">
        <f t="shared" si="1"/>
        <v>29.6875</v>
      </c>
      <c r="J31" t="s">
        <v>26</v>
      </c>
      <c r="K31">
        <v>2</v>
      </c>
      <c r="L31" t="s">
        <v>32</v>
      </c>
      <c r="M31" t="s">
        <v>32</v>
      </c>
      <c r="N31">
        <v>19</v>
      </c>
      <c r="O31" t="str">
        <f>IF(N31&gt;28,"Normal","Abnormal")</f>
        <v>Abnormal</v>
      </c>
      <c r="P31">
        <v>2</v>
      </c>
      <c r="Q31">
        <v>0.8</v>
      </c>
      <c r="R31" t="str">
        <f t="shared" si="2"/>
        <v>Abnormal</v>
      </c>
      <c r="S31">
        <v>2</v>
      </c>
      <c r="T31" s="6">
        <v>5.5</v>
      </c>
      <c r="U31" t="str">
        <f>IF(T31&gt;7,"Normal","Abnormal")</f>
        <v>Abnormal</v>
      </c>
      <c r="V31">
        <v>2</v>
      </c>
      <c r="W31" t="s">
        <v>33</v>
      </c>
      <c r="X31">
        <v>4</v>
      </c>
      <c r="Y31">
        <v>3</v>
      </c>
      <c r="Z31" t="str">
        <f>IF(Data!Y31&lt;2.1,"Tertil 1",IF(Data!Y31&lt;=2.6,"Tertil 2","Tertil 3"))</f>
        <v>Tertil 3</v>
      </c>
    </row>
    <row r="32" spans="2:26">
      <c r="B32">
        <v>31</v>
      </c>
      <c r="C32">
        <v>64</v>
      </c>
      <c r="D32" s="8">
        <v>4</v>
      </c>
      <c r="E32" t="s">
        <v>25</v>
      </c>
      <c r="F32" s="5">
        <f t="shared" si="0"/>
        <v>2</v>
      </c>
      <c r="G32">
        <v>56</v>
      </c>
      <c r="H32">
        <v>154</v>
      </c>
      <c r="I32" s="6">
        <f t="shared" si="1"/>
        <v>23.6127508854782</v>
      </c>
      <c r="J32" t="s">
        <v>34</v>
      </c>
      <c r="K32">
        <v>1</v>
      </c>
      <c r="L32" t="s">
        <v>0</v>
      </c>
      <c r="M32" t="s">
        <v>32</v>
      </c>
      <c r="N32">
        <v>27</v>
      </c>
      <c r="O32" t="str">
        <f>IF(N32&gt;18,"Normal","Abnormal")</f>
        <v>Normal</v>
      </c>
      <c r="P32">
        <v>1</v>
      </c>
      <c r="Q32">
        <v>1</v>
      </c>
      <c r="R32" t="str">
        <f t="shared" si="2"/>
        <v>Normal</v>
      </c>
      <c r="S32">
        <v>1</v>
      </c>
      <c r="T32" s="6">
        <v>3</v>
      </c>
      <c r="U32" t="str">
        <f>IF(T32&gt;5.7,"Normal","Abnormal")</f>
        <v>Abnormal</v>
      </c>
      <c r="V32">
        <v>2</v>
      </c>
      <c r="W32" t="s">
        <v>31</v>
      </c>
      <c r="X32">
        <v>2</v>
      </c>
      <c r="Y32">
        <v>2.2</v>
      </c>
      <c r="Z32" t="str">
        <f>IF(Data!Y32&lt;2.1,"Tertil 1",IF(Data!Y32&lt;=2.6,"Tertil 2","Tertil 3"))</f>
        <v>Tertil 2</v>
      </c>
    </row>
    <row r="33" spans="2:26">
      <c r="B33">
        <v>32</v>
      </c>
      <c r="C33">
        <v>67</v>
      </c>
      <c r="D33" s="8">
        <v>4</v>
      </c>
      <c r="E33" t="s">
        <v>28</v>
      </c>
      <c r="F33" s="5">
        <f t="shared" si="0"/>
        <v>1</v>
      </c>
      <c r="G33">
        <v>83</v>
      </c>
      <c r="H33">
        <v>168</v>
      </c>
      <c r="I33" s="6">
        <f t="shared" si="1"/>
        <v>29.4075963718821</v>
      </c>
      <c r="J33" t="s">
        <v>26</v>
      </c>
      <c r="K33">
        <v>2</v>
      </c>
      <c r="L33" t="s">
        <v>0</v>
      </c>
      <c r="M33" t="s">
        <v>32</v>
      </c>
      <c r="N33">
        <v>30</v>
      </c>
      <c r="O33" t="str">
        <f>IF(N33&gt;28,"Normal","Abnormal")</f>
        <v>Normal</v>
      </c>
      <c r="P33">
        <v>1</v>
      </c>
      <c r="Q33">
        <v>1</v>
      </c>
      <c r="R33" t="str">
        <f t="shared" si="2"/>
        <v>Normal</v>
      </c>
      <c r="S33">
        <v>1</v>
      </c>
      <c r="T33" s="6">
        <v>6.2</v>
      </c>
      <c r="U33" t="str">
        <f>IF(T33&gt;7,"Normal","Abnormal")</f>
        <v>Abnormal</v>
      </c>
      <c r="V33">
        <v>2</v>
      </c>
      <c r="W33" t="s">
        <v>31</v>
      </c>
      <c r="X33">
        <v>2</v>
      </c>
      <c r="Y33">
        <v>2.1</v>
      </c>
      <c r="Z33" t="str">
        <f>IF(Data!Y33&lt;2.1,"Tertil 1",IF(Data!Y33&lt;=2.6,"Tertil 2","Tertil 3"))</f>
        <v>Tertil 2</v>
      </c>
    </row>
    <row r="34" spans="2:26">
      <c r="B34">
        <v>33</v>
      </c>
      <c r="C34">
        <v>67</v>
      </c>
      <c r="D34" s="8">
        <v>4</v>
      </c>
      <c r="E34" t="s">
        <v>25</v>
      </c>
      <c r="F34" s="5">
        <f t="shared" ref="F34:F65" si="5">IF(E34="Male",1,2)</f>
        <v>2</v>
      </c>
      <c r="G34">
        <v>64</v>
      </c>
      <c r="H34">
        <v>145</v>
      </c>
      <c r="I34" s="6">
        <f t="shared" si="1"/>
        <v>30.4399524375743</v>
      </c>
      <c r="J34" t="s">
        <v>29</v>
      </c>
      <c r="K34">
        <v>3</v>
      </c>
      <c r="L34" t="s">
        <v>0</v>
      </c>
      <c r="M34" t="s">
        <v>0</v>
      </c>
      <c r="N34">
        <v>22</v>
      </c>
      <c r="O34" t="str">
        <f>IF(N34&gt;18,"Normal","Abnormal")</f>
        <v>Normal</v>
      </c>
      <c r="P34">
        <v>1</v>
      </c>
      <c r="Q34">
        <v>1</v>
      </c>
      <c r="R34" t="str">
        <f t="shared" si="2"/>
        <v>Normal</v>
      </c>
      <c r="S34">
        <v>1</v>
      </c>
      <c r="T34" s="6">
        <v>5.8</v>
      </c>
      <c r="U34" t="str">
        <f>IF(T34&gt;5.7,"Normal","Abnormal")</f>
        <v>Normal</v>
      </c>
      <c r="V34">
        <v>1</v>
      </c>
      <c r="W34" t="s">
        <v>27</v>
      </c>
      <c r="X34">
        <v>1</v>
      </c>
      <c r="Y34">
        <v>1.7</v>
      </c>
      <c r="Z34" t="str">
        <f>IF(Data!Y34&lt;2.1,"Tertil 1",IF(Data!Y34&lt;=2.6,"Tertil 2","Tertil 3"))</f>
        <v>Tertil 1</v>
      </c>
    </row>
    <row r="35" spans="2:26">
      <c r="B35">
        <v>34</v>
      </c>
      <c r="C35">
        <v>64</v>
      </c>
      <c r="D35" s="8">
        <v>4</v>
      </c>
      <c r="E35" t="s">
        <v>25</v>
      </c>
      <c r="F35" s="5">
        <f t="shared" si="5"/>
        <v>2</v>
      </c>
      <c r="G35">
        <v>55</v>
      </c>
      <c r="H35">
        <v>145</v>
      </c>
      <c r="I35" s="6">
        <f t="shared" si="1"/>
        <v>26.1593341260404</v>
      </c>
      <c r="J35" t="s">
        <v>26</v>
      </c>
      <c r="K35">
        <v>2</v>
      </c>
      <c r="L35" t="s">
        <v>0</v>
      </c>
      <c r="M35" t="s">
        <v>32</v>
      </c>
      <c r="N35">
        <v>11.8</v>
      </c>
      <c r="O35" t="str">
        <f>IF(N35&gt;18,"Normal","Abnormal")</f>
        <v>Abnormal</v>
      </c>
      <c r="P35">
        <v>2</v>
      </c>
      <c r="Q35">
        <v>1</v>
      </c>
      <c r="R35" t="str">
        <f t="shared" si="2"/>
        <v>Normal</v>
      </c>
      <c r="S35">
        <v>1</v>
      </c>
      <c r="T35" s="6">
        <v>5.1</v>
      </c>
      <c r="U35" t="str">
        <f>IF(T35&gt;5.7,"Normal","Abnormal")</f>
        <v>Abnormal</v>
      </c>
      <c r="V35">
        <v>2</v>
      </c>
      <c r="W35" t="s">
        <v>22</v>
      </c>
      <c r="X35">
        <v>3</v>
      </c>
      <c r="Y35">
        <v>2.5</v>
      </c>
      <c r="Z35" t="str">
        <f>IF(Data!Y35&lt;2.1,"Tertil 1",IF(Data!Y35&lt;=2.6,"Tertil 2","Tertil 3"))</f>
        <v>Tertil 2</v>
      </c>
    </row>
    <row r="36" spans="2:26">
      <c r="B36">
        <v>35</v>
      </c>
      <c r="C36">
        <v>67</v>
      </c>
      <c r="D36" s="8">
        <v>4</v>
      </c>
      <c r="E36" t="s">
        <v>28</v>
      </c>
      <c r="F36" s="5">
        <f t="shared" si="5"/>
        <v>1</v>
      </c>
      <c r="G36">
        <v>60</v>
      </c>
      <c r="H36">
        <v>153</v>
      </c>
      <c r="I36" s="6">
        <f t="shared" si="1"/>
        <v>25.6311674996796</v>
      </c>
      <c r="J36" t="s">
        <v>26</v>
      </c>
      <c r="K36">
        <v>2</v>
      </c>
      <c r="L36" t="s">
        <v>0</v>
      </c>
      <c r="M36" t="s">
        <v>32</v>
      </c>
      <c r="N36">
        <v>18</v>
      </c>
      <c r="O36" t="str">
        <f>IF(N36&gt;28,"Normal","Abnormal")</f>
        <v>Abnormal</v>
      </c>
      <c r="P36">
        <v>2</v>
      </c>
      <c r="Q36">
        <v>1.2</v>
      </c>
      <c r="R36" t="str">
        <f t="shared" si="2"/>
        <v>Normal</v>
      </c>
      <c r="S36">
        <v>1</v>
      </c>
      <c r="T36" s="6">
        <v>7.1</v>
      </c>
      <c r="U36" t="str">
        <f>IF(T36&gt;7,"Normal","Abnormal")</f>
        <v>Normal</v>
      </c>
      <c r="V36">
        <v>1</v>
      </c>
      <c r="W36" t="s">
        <v>31</v>
      </c>
      <c r="X36">
        <v>2</v>
      </c>
      <c r="Y36">
        <v>2</v>
      </c>
      <c r="Z36" t="str">
        <f>IF(Data!Y36&lt;2.1,"Tertil 1",IF(Data!Y36&lt;=2.6,"Tertil 2","Tertil 3"))</f>
        <v>Tertil 1</v>
      </c>
    </row>
    <row r="37" spans="2:26">
      <c r="B37">
        <v>36</v>
      </c>
      <c r="C37">
        <v>70</v>
      </c>
      <c r="D37" s="8">
        <v>4</v>
      </c>
      <c r="E37" t="s">
        <v>28</v>
      </c>
      <c r="F37" s="5">
        <f t="shared" si="5"/>
        <v>1</v>
      </c>
      <c r="G37">
        <v>73</v>
      </c>
      <c r="H37">
        <v>168</v>
      </c>
      <c r="I37" s="6">
        <f t="shared" si="1"/>
        <v>25.8645124716553</v>
      </c>
      <c r="J37" t="s">
        <v>26</v>
      </c>
      <c r="K37">
        <v>2</v>
      </c>
      <c r="L37" t="s">
        <v>0</v>
      </c>
      <c r="M37" t="s">
        <v>32</v>
      </c>
      <c r="N37">
        <v>22</v>
      </c>
      <c r="O37" t="str">
        <f>IF(N37&gt;28,"Normal","Abnormal")</f>
        <v>Abnormal</v>
      </c>
      <c r="P37">
        <v>2</v>
      </c>
      <c r="Q37">
        <v>1</v>
      </c>
      <c r="R37" t="str">
        <f t="shared" si="2"/>
        <v>Normal</v>
      </c>
      <c r="S37">
        <v>1</v>
      </c>
      <c r="T37" s="6">
        <v>6.3</v>
      </c>
      <c r="U37" t="str">
        <f>IF(T37&gt;7,"Normal","Abnormal")</f>
        <v>Abnormal</v>
      </c>
      <c r="V37">
        <v>2</v>
      </c>
      <c r="W37" t="s">
        <v>22</v>
      </c>
      <c r="X37">
        <v>3</v>
      </c>
      <c r="Y37">
        <v>2.1</v>
      </c>
      <c r="Z37" t="str">
        <f>IF(Data!Y37&lt;2.1,"Tertil 1",IF(Data!Y37&lt;=2.6,"Tertil 2","Tertil 3"))</f>
        <v>Tertil 2</v>
      </c>
    </row>
    <row r="38" spans="2:26">
      <c r="B38">
        <v>37</v>
      </c>
      <c r="C38">
        <v>68</v>
      </c>
      <c r="D38" s="8">
        <v>4</v>
      </c>
      <c r="E38" t="s">
        <v>28</v>
      </c>
      <c r="F38" s="5">
        <f t="shared" si="5"/>
        <v>1</v>
      </c>
      <c r="G38">
        <v>79</v>
      </c>
      <c r="H38">
        <v>162</v>
      </c>
      <c r="I38" s="6">
        <f t="shared" si="1"/>
        <v>30.1021185794848</v>
      </c>
      <c r="J38" t="s">
        <v>29</v>
      </c>
      <c r="K38">
        <v>3</v>
      </c>
      <c r="L38" t="s">
        <v>0</v>
      </c>
      <c r="M38" t="s">
        <v>32</v>
      </c>
      <c r="N38">
        <v>28</v>
      </c>
      <c r="O38" t="str">
        <f>IF(N38&gt;28,"Normal","Abnormal")</f>
        <v>Abnormal</v>
      </c>
      <c r="P38">
        <v>2</v>
      </c>
      <c r="Q38">
        <v>0.9</v>
      </c>
      <c r="R38" t="str">
        <f t="shared" si="2"/>
        <v>Abnormal</v>
      </c>
      <c r="S38">
        <v>2</v>
      </c>
      <c r="T38" s="6">
        <v>7.3</v>
      </c>
      <c r="U38" t="str">
        <f>IF(T38&gt;7,"Normal","Abnormal")</f>
        <v>Normal</v>
      </c>
      <c r="V38">
        <v>1</v>
      </c>
      <c r="W38" t="s">
        <v>22</v>
      </c>
      <c r="X38">
        <v>3</v>
      </c>
      <c r="Y38">
        <v>1.8</v>
      </c>
      <c r="Z38" t="str">
        <f>IF(Data!Y38&lt;2.1,"Tertil 1",IF(Data!Y38&lt;=2.6,"Tertil 2","Tertil 3"))</f>
        <v>Tertil 1</v>
      </c>
    </row>
    <row r="39" spans="2:26">
      <c r="B39">
        <v>38</v>
      </c>
      <c r="C39">
        <v>73</v>
      </c>
      <c r="D39" s="8">
        <v>4</v>
      </c>
      <c r="E39" t="s">
        <v>25</v>
      </c>
      <c r="F39" s="5">
        <f t="shared" si="5"/>
        <v>2</v>
      </c>
      <c r="G39">
        <v>55</v>
      </c>
      <c r="H39">
        <v>150</v>
      </c>
      <c r="I39" s="6">
        <f t="shared" si="1"/>
        <v>24.4444444444444</v>
      </c>
      <c r="J39" t="s">
        <v>34</v>
      </c>
      <c r="K39">
        <v>1</v>
      </c>
      <c r="L39" t="s">
        <v>0</v>
      </c>
      <c r="M39" t="s">
        <v>0</v>
      </c>
      <c r="N39">
        <v>14.8</v>
      </c>
      <c r="O39" t="str">
        <f>IF(N39&gt;18,"Normal","Abnormal")</f>
        <v>Abnormal</v>
      </c>
      <c r="P39">
        <v>2</v>
      </c>
      <c r="Q39">
        <v>0.7</v>
      </c>
      <c r="R39" t="str">
        <f t="shared" si="2"/>
        <v>Abnormal</v>
      </c>
      <c r="S39">
        <v>2</v>
      </c>
      <c r="T39" s="6">
        <v>5.8</v>
      </c>
      <c r="U39" t="str">
        <f>IF(T39&gt;5.7,"Normal","Abnormal")</f>
        <v>Normal</v>
      </c>
      <c r="V39">
        <v>1</v>
      </c>
      <c r="W39" t="s">
        <v>22</v>
      </c>
      <c r="X39">
        <v>3</v>
      </c>
      <c r="Y39">
        <v>2</v>
      </c>
      <c r="Z39" t="str">
        <f>IF(Data!Y39&lt;2.1,"Tertil 1",IF(Data!Y39&lt;=2.6,"Tertil 2","Tertil 3"))</f>
        <v>Tertil 1</v>
      </c>
    </row>
    <row r="40" spans="2:26">
      <c r="B40">
        <v>39</v>
      </c>
      <c r="C40">
        <v>67</v>
      </c>
      <c r="D40" s="8">
        <v>4</v>
      </c>
      <c r="E40" t="s">
        <v>25</v>
      </c>
      <c r="F40" s="5">
        <f t="shared" si="5"/>
        <v>2</v>
      </c>
      <c r="G40">
        <v>62</v>
      </c>
      <c r="H40">
        <v>150</v>
      </c>
      <c r="I40" s="6">
        <f t="shared" si="1"/>
        <v>27.5555555555556</v>
      </c>
      <c r="J40" t="s">
        <v>26</v>
      </c>
      <c r="K40">
        <v>2</v>
      </c>
      <c r="L40" t="s">
        <v>0</v>
      </c>
      <c r="M40" t="s">
        <v>0</v>
      </c>
      <c r="N40">
        <v>32</v>
      </c>
      <c r="O40" t="str">
        <f>IF(N40&gt;18,"Normal","Abnormal")</f>
        <v>Normal</v>
      </c>
      <c r="P40">
        <v>1</v>
      </c>
      <c r="Q40">
        <v>1</v>
      </c>
      <c r="R40" t="str">
        <f t="shared" si="2"/>
        <v>Normal</v>
      </c>
      <c r="S40">
        <v>1</v>
      </c>
      <c r="T40" s="6">
        <v>6</v>
      </c>
      <c r="U40" t="str">
        <f>IF(T40&gt;5.7,"Normal","Abnormal")</f>
        <v>Normal</v>
      </c>
      <c r="V40">
        <v>1</v>
      </c>
      <c r="W40" t="s">
        <v>27</v>
      </c>
      <c r="X40">
        <v>1</v>
      </c>
      <c r="Y40">
        <v>1.3</v>
      </c>
      <c r="Z40" t="str">
        <f>IF(Data!Y40&lt;2.1,"Tertil 1",IF(Data!Y40&lt;=2.6,"Tertil 2","Tertil 3"))</f>
        <v>Tertil 1</v>
      </c>
    </row>
    <row r="41" spans="2:26">
      <c r="B41">
        <v>40</v>
      </c>
      <c r="C41">
        <v>63</v>
      </c>
      <c r="D41" s="8">
        <v>4</v>
      </c>
      <c r="E41" t="s">
        <v>25</v>
      </c>
      <c r="F41" s="5">
        <f t="shared" si="5"/>
        <v>2</v>
      </c>
      <c r="G41">
        <v>55</v>
      </c>
      <c r="H41">
        <v>142</v>
      </c>
      <c r="I41" s="6">
        <f t="shared" si="1"/>
        <v>27.2763340607022</v>
      </c>
      <c r="J41" t="s">
        <v>26</v>
      </c>
      <c r="K41">
        <v>2</v>
      </c>
      <c r="L41" t="s">
        <v>0</v>
      </c>
      <c r="M41" t="s">
        <v>0</v>
      </c>
      <c r="N41">
        <v>16</v>
      </c>
      <c r="O41" t="str">
        <f>IF(N41&gt;18,"Normal","Abnormal")</f>
        <v>Abnormal</v>
      </c>
      <c r="P41">
        <v>2</v>
      </c>
      <c r="Q41">
        <v>0.8</v>
      </c>
      <c r="R41" t="str">
        <f t="shared" si="2"/>
        <v>Abnormal</v>
      </c>
      <c r="S41">
        <v>2</v>
      </c>
      <c r="T41" s="6">
        <v>5</v>
      </c>
      <c r="U41" t="str">
        <f>IF(T41&gt;5.7,"Normal","Abnormal")</f>
        <v>Abnormal</v>
      </c>
      <c r="V41">
        <v>2</v>
      </c>
      <c r="W41" t="s">
        <v>33</v>
      </c>
      <c r="X41">
        <v>4</v>
      </c>
      <c r="Y41">
        <v>2.3</v>
      </c>
      <c r="Z41" t="str">
        <f>IF(Data!Y41&lt;2.1,"Tertil 1",IF(Data!Y41&lt;=2.6,"Tertil 2","Tertil 3"))</f>
        <v>Tertil 2</v>
      </c>
    </row>
    <row r="42" spans="2:26">
      <c r="B42">
        <v>41</v>
      </c>
      <c r="C42">
        <v>67</v>
      </c>
      <c r="D42" s="8">
        <v>4</v>
      </c>
      <c r="E42" t="s">
        <v>28</v>
      </c>
      <c r="F42" s="5">
        <f t="shared" si="5"/>
        <v>1</v>
      </c>
      <c r="G42">
        <v>58</v>
      </c>
      <c r="H42">
        <v>158</v>
      </c>
      <c r="I42" s="6">
        <f t="shared" si="1"/>
        <v>23.2334561768947</v>
      </c>
      <c r="J42" t="s">
        <v>34</v>
      </c>
      <c r="K42">
        <v>1</v>
      </c>
      <c r="L42" t="s">
        <v>0</v>
      </c>
      <c r="M42" t="s">
        <v>0</v>
      </c>
      <c r="N42">
        <v>19.8</v>
      </c>
      <c r="O42" t="str">
        <f>IF(N42&gt;28,"Normal","Abnormal")</f>
        <v>Abnormal</v>
      </c>
      <c r="P42">
        <v>2</v>
      </c>
      <c r="Q42">
        <v>0.9</v>
      </c>
      <c r="R42" t="str">
        <f t="shared" si="2"/>
        <v>Abnormal</v>
      </c>
      <c r="S42">
        <v>2</v>
      </c>
      <c r="T42">
        <v>6.8</v>
      </c>
      <c r="U42" t="str">
        <f>IF(T42&gt;7,"Normal","Abnormal")</f>
        <v>Abnormal</v>
      </c>
      <c r="V42">
        <v>2</v>
      </c>
      <c r="W42" t="s">
        <v>33</v>
      </c>
      <c r="X42">
        <v>4</v>
      </c>
      <c r="Y42">
        <v>2.1</v>
      </c>
      <c r="Z42" t="str">
        <f>IF(Data!Y42&lt;2.1,"Tertil 1",IF(Data!Y42&lt;=2.6,"Tertil 2","Tertil 3"))</f>
        <v>Tertil 2</v>
      </c>
    </row>
    <row r="43" spans="2:26">
      <c r="B43">
        <v>42</v>
      </c>
      <c r="C43" s="8">
        <v>35</v>
      </c>
      <c r="D43">
        <v>1</v>
      </c>
      <c r="E43" s="8" t="s">
        <v>25</v>
      </c>
      <c r="F43" s="5">
        <f t="shared" si="5"/>
        <v>2</v>
      </c>
      <c r="G43" s="8">
        <v>72</v>
      </c>
      <c r="H43" s="8">
        <v>1.54</v>
      </c>
      <c r="I43" s="9">
        <f t="shared" ref="I43:I65" si="6">G43/(H43^2)</f>
        <v>30.3592511384719</v>
      </c>
      <c r="J43" t="s">
        <v>29</v>
      </c>
      <c r="K43">
        <v>3</v>
      </c>
      <c r="L43" t="s">
        <v>0</v>
      </c>
      <c r="M43" t="s">
        <v>0</v>
      </c>
      <c r="N43" s="8">
        <v>16</v>
      </c>
      <c r="O43" t="str">
        <f>IF(N43&gt;18,"Normal","Abnormal")</f>
        <v>Abnormal</v>
      </c>
      <c r="P43">
        <v>2</v>
      </c>
      <c r="Q43">
        <v>1</v>
      </c>
      <c r="R43" t="str">
        <f t="shared" si="2"/>
        <v>Normal</v>
      </c>
      <c r="S43">
        <v>1</v>
      </c>
      <c r="T43" s="8">
        <v>5</v>
      </c>
      <c r="U43" t="str">
        <f>IF(T43&gt;5.7,"Normal","Abnormal")</f>
        <v>Abnormal</v>
      </c>
      <c r="V43">
        <v>2</v>
      </c>
      <c r="W43" t="s">
        <v>22</v>
      </c>
      <c r="X43">
        <v>3</v>
      </c>
      <c r="Y43">
        <v>2.48</v>
      </c>
      <c r="Z43" t="str">
        <f>IF(Data!Y43&lt;2.1,"Tertil 1",IF(Data!Y43&lt;=2.6,"Tertil 2","Tertil 3"))</f>
        <v>Tertil 2</v>
      </c>
    </row>
    <row r="44" spans="2:26">
      <c r="B44">
        <v>43</v>
      </c>
      <c r="C44" s="8">
        <v>41</v>
      </c>
      <c r="D44">
        <v>2</v>
      </c>
      <c r="E44" s="8" t="s">
        <v>28</v>
      </c>
      <c r="F44" s="5">
        <f t="shared" si="5"/>
        <v>1</v>
      </c>
      <c r="G44" s="8">
        <v>81</v>
      </c>
      <c r="H44" s="8">
        <v>1.61</v>
      </c>
      <c r="I44" s="9">
        <f t="shared" si="6"/>
        <v>31.2487944137958</v>
      </c>
      <c r="J44" t="s">
        <v>29</v>
      </c>
      <c r="K44">
        <v>3</v>
      </c>
      <c r="L44" t="s">
        <v>0</v>
      </c>
      <c r="M44" t="s">
        <v>0</v>
      </c>
      <c r="N44" s="8">
        <v>33.21</v>
      </c>
      <c r="O44" t="str">
        <f>IF(N44&gt;28,"Normal","Abnormal")</f>
        <v>Normal</v>
      </c>
      <c r="P44">
        <v>1</v>
      </c>
      <c r="Q44">
        <v>0.9</v>
      </c>
      <c r="R44" t="str">
        <f t="shared" ref="R44:R75" si="7">IF(Q44&lt;1,"Abnormal","Normal")</f>
        <v>Abnormal</v>
      </c>
      <c r="S44">
        <v>2</v>
      </c>
      <c r="T44" s="8">
        <v>8.68</v>
      </c>
      <c r="U44" t="str">
        <f>IF(T44&gt;7,"Normal","Abnormal")</f>
        <v>Normal</v>
      </c>
      <c r="V44">
        <v>1</v>
      </c>
      <c r="W44" t="s">
        <v>31</v>
      </c>
      <c r="X44">
        <v>2</v>
      </c>
      <c r="Y44">
        <v>2.49</v>
      </c>
      <c r="Z44" t="str">
        <f>IF(Data!Y44&lt;2.1,"Tertil 1",IF(Data!Y44&lt;=2.6,"Tertil 2","Tertil 3"))</f>
        <v>Tertil 2</v>
      </c>
    </row>
    <row r="45" spans="2:26">
      <c r="B45">
        <v>44</v>
      </c>
      <c r="C45" s="8">
        <v>39</v>
      </c>
      <c r="D45">
        <v>1</v>
      </c>
      <c r="E45" s="8" t="s">
        <v>25</v>
      </c>
      <c r="F45" s="5">
        <f t="shared" si="5"/>
        <v>2</v>
      </c>
      <c r="G45" s="8">
        <v>72</v>
      </c>
      <c r="H45" s="8">
        <v>1.6</v>
      </c>
      <c r="I45" s="9">
        <f t="shared" si="6"/>
        <v>28.125</v>
      </c>
      <c r="J45" t="s">
        <v>26</v>
      </c>
      <c r="K45">
        <v>2</v>
      </c>
      <c r="L45" t="s">
        <v>0</v>
      </c>
      <c r="M45" t="s">
        <v>0</v>
      </c>
      <c r="N45" s="8">
        <v>21.1</v>
      </c>
      <c r="O45" t="str">
        <f>IF(N45&gt;18,"Normal","Abnormal")</f>
        <v>Normal</v>
      </c>
      <c r="P45">
        <v>1</v>
      </c>
      <c r="Q45">
        <v>1</v>
      </c>
      <c r="R45" t="str">
        <f t="shared" si="7"/>
        <v>Normal</v>
      </c>
      <c r="S45">
        <v>1</v>
      </c>
      <c r="T45" s="8">
        <v>6.63</v>
      </c>
      <c r="U45" t="str">
        <f>IF(T45&gt;5.7,"Normal","Abnormal")</f>
        <v>Normal</v>
      </c>
      <c r="V45">
        <v>1</v>
      </c>
      <c r="W45" t="s">
        <v>27</v>
      </c>
      <c r="X45">
        <v>1</v>
      </c>
      <c r="Y45">
        <v>1.92</v>
      </c>
      <c r="Z45" t="str">
        <f>IF(Data!Y45&lt;2.1,"Tertil 1",IF(Data!Y45&lt;=2.6,"Tertil 2","Tertil 3"))</f>
        <v>Tertil 1</v>
      </c>
    </row>
    <row r="46" spans="2:26">
      <c r="B46">
        <v>45</v>
      </c>
      <c r="C46">
        <v>45</v>
      </c>
      <c r="D46">
        <v>2</v>
      </c>
      <c r="E46" s="8" t="s">
        <v>28</v>
      </c>
      <c r="F46" s="5">
        <f t="shared" si="5"/>
        <v>1</v>
      </c>
      <c r="G46">
        <v>80</v>
      </c>
      <c r="H46">
        <v>1.75</v>
      </c>
      <c r="I46" s="9">
        <f t="shared" si="6"/>
        <v>26.1224489795918</v>
      </c>
      <c r="J46" t="s">
        <v>26</v>
      </c>
      <c r="K46">
        <v>2</v>
      </c>
      <c r="L46" t="s">
        <v>0</v>
      </c>
      <c r="M46" t="s">
        <v>0</v>
      </c>
      <c r="N46">
        <v>31</v>
      </c>
      <c r="O46" t="str">
        <f>IF(N46&gt;28,"Normal","Abnormal")</f>
        <v>Normal</v>
      </c>
      <c r="P46">
        <v>1</v>
      </c>
      <c r="Q46">
        <v>1.1</v>
      </c>
      <c r="R46" t="str">
        <f t="shared" si="7"/>
        <v>Normal</v>
      </c>
      <c r="S46">
        <v>1</v>
      </c>
      <c r="T46" s="8">
        <v>7.99</v>
      </c>
      <c r="U46" t="str">
        <f>IF(T46&gt;7,"Normal","Abnormal")</f>
        <v>Normal</v>
      </c>
      <c r="V46">
        <v>1</v>
      </c>
      <c r="W46" t="s">
        <v>27</v>
      </c>
      <c r="X46">
        <v>1</v>
      </c>
      <c r="Y46">
        <v>1.9</v>
      </c>
      <c r="Z46" t="str">
        <f>IF(Data!Y46&lt;2.1,"Tertil 1",IF(Data!Y46&lt;=2.6,"Tertil 2","Tertil 3"))</f>
        <v>Tertil 1</v>
      </c>
    </row>
    <row r="47" spans="2:26">
      <c r="B47">
        <v>46</v>
      </c>
      <c r="C47" s="8">
        <v>62</v>
      </c>
      <c r="D47" s="8">
        <v>4</v>
      </c>
      <c r="E47" s="8" t="s">
        <v>28</v>
      </c>
      <c r="F47" s="5">
        <f t="shared" si="5"/>
        <v>1</v>
      </c>
      <c r="G47" s="8">
        <v>72</v>
      </c>
      <c r="H47" s="8">
        <v>1.62</v>
      </c>
      <c r="I47" s="9">
        <f t="shared" si="6"/>
        <v>27.4348422496571</v>
      </c>
      <c r="J47" t="s">
        <v>26</v>
      </c>
      <c r="K47">
        <v>2</v>
      </c>
      <c r="L47" t="s">
        <v>0</v>
      </c>
      <c r="M47" t="s">
        <v>0</v>
      </c>
      <c r="N47" s="8">
        <v>26.5</v>
      </c>
      <c r="O47" t="str">
        <f>IF(N47&gt;28,"Normal","Abnormal")</f>
        <v>Abnormal</v>
      </c>
      <c r="P47">
        <v>2</v>
      </c>
      <c r="Q47">
        <v>0.8</v>
      </c>
      <c r="R47" t="str">
        <f t="shared" si="7"/>
        <v>Abnormal</v>
      </c>
      <c r="S47">
        <v>2</v>
      </c>
      <c r="T47" s="8">
        <v>6.09</v>
      </c>
      <c r="U47" t="str">
        <f>IF(T47&gt;7,"Normal","Abnormal")</f>
        <v>Abnormal</v>
      </c>
      <c r="V47">
        <v>2</v>
      </c>
      <c r="W47" t="s">
        <v>33</v>
      </c>
      <c r="X47">
        <v>4</v>
      </c>
      <c r="Y47">
        <v>3</v>
      </c>
      <c r="Z47" t="str">
        <f>IF(Data!Y47&lt;2.1,"Tertil 1",IF(Data!Y47&lt;=2.6,"Tertil 2","Tertil 3"))</f>
        <v>Tertil 3</v>
      </c>
    </row>
    <row r="48" spans="2:26">
      <c r="B48">
        <v>47</v>
      </c>
      <c r="C48" s="8">
        <v>65</v>
      </c>
      <c r="D48" s="8">
        <v>4</v>
      </c>
      <c r="E48" s="8" t="s">
        <v>25</v>
      </c>
      <c r="F48" s="5">
        <f t="shared" si="5"/>
        <v>2</v>
      </c>
      <c r="G48" s="8">
        <v>60</v>
      </c>
      <c r="H48" s="8">
        <v>1.57</v>
      </c>
      <c r="I48" s="9">
        <f t="shared" si="6"/>
        <v>24.3417582863402</v>
      </c>
      <c r="J48" t="s">
        <v>34</v>
      </c>
      <c r="K48">
        <v>1</v>
      </c>
      <c r="L48" t="s">
        <v>0</v>
      </c>
      <c r="M48" t="s">
        <v>0</v>
      </c>
      <c r="N48" s="8">
        <v>14.6</v>
      </c>
      <c r="O48" t="str">
        <f>IF(N48&gt;18,"Normal","Abnormal")</f>
        <v>Abnormal</v>
      </c>
      <c r="P48">
        <v>2</v>
      </c>
      <c r="Q48">
        <v>0.7</v>
      </c>
      <c r="R48" t="str">
        <f t="shared" si="7"/>
        <v>Abnormal</v>
      </c>
      <c r="S48">
        <v>2</v>
      </c>
      <c r="T48" s="8">
        <v>4.5</v>
      </c>
      <c r="U48" t="str">
        <f>IF(T48&gt;5.7,"Normal","Abnormal")</f>
        <v>Abnormal</v>
      </c>
      <c r="V48">
        <v>2</v>
      </c>
      <c r="W48" t="s">
        <v>33</v>
      </c>
      <c r="X48">
        <v>4</v>
      </c>
      <c r="Y48">
        <v>2.3</v>
      </c>
      <c r="Z48" t="str">
        <f>IF(Data!Y48&lt;2.1,"Tertil 1",IF(Data!Y48&lt;=2.6,"Tertil 2","Tertil 3"))</f>
        <v>Tertil 2</v>
      </c>
    </row>
    <row r="49" spans="2:26">
      <c r="B49">
        <v>48</v>
      </c>
      <c r="C49" s="8">
        <v>61</v>
      </c>
      <c r="D49" s="8">
        <v>4</v>
      </c>
      <c r="E49" s="8" t="s">
        <v>25</v>
      </c>
      <c r="F49" s="5">
        <f t="shared" si="5"/>
        <v>2</v>
      </c>
      <c r="G49" s="8">
        <v>55</v>
      </c>
      <c r="H49" s="8">
        <v>1.5</v>
      </c>
      <c r="I49" s="9">
        <f t="shared" si="6"/>
        <v>24.4444444444444</v>
      </c>
      <c r="J49" t="s">
        <v>34</v>
      </c>
      <c r="K49">
        <v>1</v>
      </c>
      <c r="L49" t="s">
        <v>32</v>
      </c>
      <c r="M49" t="s">
        <v>0</v>
      </c>
      <c r="N49" s="8">
        <v>14.7</v>
      </c>
      <c r="O49" t="str">
        <f>IF(N49&gt;18,"Normal","Abnormal")</f>
        <v>Abnormal</v>
      </c>
      <c r="P49">
        <v>2</v>
      </c>
      <c r="Q49">
        <v>0.9</v>
      </c>
      <c r="R49" t="str">
        <f t="shared" si="7"/>
        <v>Abnormal</v>
      </c>
      <c r="S49">
        <v>2</v>
      </c>
      <c r="T49" s="8">
        <v>4.62</v>
      </c>
      <c r="U49" t="str">
        <f>IF(T49&gt;5.7,"Normal","Abnormal")</f>
        <v>Abnormal</v>
      </c>
      <c r="V49">
        <v>2</v>
      </c>
      <c r="W49" t="s">
        <v>33</v>
      </c>
      <c r="X49">
        <v>4</v>
      </c>
      <c r="Y49">
        <v>2.4</v>
      </c>
      <c r="Z49" t="str">
        <f>IF(Data!Y49&lt;2.1,"Tertil 1",IF(Data!Y49&lt;=2.6,"Tertil 2","Tertil 3"))</f>
        <v>Tertil 2</v>
      </c>
    </row>
    <row r="50" spans="2:26">
      <c r="B50">
        <v>49</v>
      </c>
      <c r="C50" s="8">
        <v>65</v>
      </c>
      <c r="D50" s="8">
        <v>4</v>
      </c>
      <c r="E50" s="8" t="s">
        <v>28</v>
      </c>
      <c r="F50" s="5">
        <f t="shared" si="5"/>
        <v>1</v>
      </c>
      <c r="G50" s="8">
        <v>63</v>
      </c>
      <c r="H50" s="8">
        <v>1.64</v>
      </c>
      <c r="I50" s="9">
        <f t="shared" si="6"/>
        <v>23.4235574063058</v>
      </c>
      <c r="J50" t="s">
        <v>34</v>
      </c>
      <c r="K50">
        <v>1</v>
      </c>
      <c r="L50" t="s">
        <v>0</v>
      </c>
      <c r="M50" t="s">
        <v>0</v>
      </c>
      <c r="N50" s="8">
        <v>25.2</v>
      </c>
      <c r="O50" t="str">
        <f>IF(N50&gt;28,"Normal","Abnormal")</f>
        <v>Abnormal</v>
      </c>
      <c r="P50">
        <v>2</v>
      </c>
      <c r="Q50">
        <v>0.8</v>
      </c>
      <c r="R50" t="str">
        <f t="shared" si="7"/>
        <v>Abnormal</v>
      </c>
      <c r="S50">
        <v>2</v>
      </c>
      <c r="T50" s="8">
        <v>6.69</v>
      </c>
      <c r="U50" t="str">
        <f>IF(T50&gt;7,"Normal","Abnormal")</f>
        <v>Abnormal</v>
      </c>
      <c r="V50">
        <v>2</v>
      </c>
      <c r="W50" t="s">
        <v>33</v>
      </c>
      <c r="X50">
        <v>4</v>
      </c>
      <c r="Y50">
        <v>2.17</v>
      </c>
      <c r="Z50" t="str">
        <f>IF(Data!Y50&lt;2.1,"Tertil 1",IF(Data!Y50&lt;=2.6,"Tertil 2","Tertil 3"))</f>
        <v>Tertil 2</v>
      </c>
    </row>
    <row r="51" spans="2:26">
      <c r="B51">
        <v>50</v>
      </c>
      <c r="C51" s="8">
        <v>60</v>
      </c>
      <c r="D51" s="8">
        <v>4</v>
      </c>
      <c r="E51" s="8" t="s">
        <v>28</v>
      </c>
      <c r="F51" s="5">
        <f t="shared" si="5"/>
        <v>1</v>
      </c>
      <c r="G51" s="8">
        <v>78</v>
      </c>
      <c r="H51" s="8">
        <v>1.6</v>
      </c>
      <c r="I51" s="9">
        <f t="shared" si="6"/>
        <v>30.46875</v>
      </c>
      <c r="J51" t="s">
        <v>29</v>
      </c>
      <c r="K51">
        <v>3</v>
      </c>
      <c r="L51" t="s">
        <v>0</v>
      </c>
      <c r="M51" t="s">
        <v>0</v>
      </c>
      <c r="N51" s="8">
        <v>22.8</v>
      </c>
      <c r="O51" t="str">
        <f>IF(N51&gt;28,"Normal","Abnormal")</f>
        <v>Abnormal</v>
      </c>
      <c r="P51">
        <v>2</v>
      </c>
      <c r="Q51">
        <v>0.8</v>
      </c>
      <c r="R51" t="str">
        <f t="shared" si="7"/>
        <v>Abnormal</v>
      </c>
      <c r="S51">
        <v>2</v>
      </c>
      <c r="T51" s="8">
        <v>8.07</v>
      </c>
      <c r="U51" t="str">
        <f>IF(T51&gt;7,"Normal","Abnormal")</f>
        <v>Normal</v>
      </c>
      <c r="V51">
        <v>1</v>
      </c>
      <c r="W51" t="s">
        <v>22</v>
      </c>
      <c r="X51">
        <v>3</v>
      </c>
      <c r="Y51">
        <v>2.45</v>
      </c>
      <c r="Z51" t="str">
        <f>IF(Data!Y51&lt;2.1,"Tertil 1",IF(Data!Y51&lt;=2.6,"Tertil 2","Tertil 3"))</f>
        <v>Tertil 2</v>
      </c>
    </row>
    <row r="52" spans="2:26">
      <c r="B52">
        <v>51</v>
      </c>
      <c r="C52" s="8">
        <v>68</v>
      </c>
      <c r="D52" s="8">
        <v>4</v>
      </c>
      <c r="E52" s="8" t="s">
        <v>25</v>
      </c>
      <c r="F52" s="5">
        <f t="shared" si="5"/>
        <v>2</v>
      </c>
      <c r="G52" s="8">
        <v>65</v>
      </c>
      <c r="H52" s="8">
        <v>1.55</v>
      </c>
      <c r="I52" s="9">
        <f t="shared" si="6"/>
        <v>27.0551508844953</v>
      </c>
      <c r="J52" t="s">
        <v>26</v>
      </c>
      <c r="K52">
        <v>2</v>
      </c>
      <c r="L52" t="s">
        <v>0</v>
      </c>
      <c r="M52" t="s">
        <v>0</v>
      </c>
      <c r="N52" s="8">
        <v>9.5</v>
      </c>
      <c r="O52" t="str">
        <f>IF(N52&gt;18,"Normal","Abnormal")</f>
        <v>Abnormal</v>
      </c>
      <c r="P52">
        <v>2</v>
      </c>
      <c r="Q52">
        <v>0.7</v>
      </c>
      <c r="R52" t="str">
        <f t="shared" si="7"/>
        <v>Abnormal</v>
      </c>
      <c r="S52">
        <v>2</v>
      </c>
      <c r="T52" s="8">
        <v>6.14</v>
      </c>
      <c r="U52" t="str">
        <f>IF(T52&gt;5.7,"Normal","Abnormal")</f>
        <v>Normal</v>
      </c>
      <c r="V52">
        <v>1</v>
      </c>
      <c r="W52" t="s">
        <v>22</v>
      </c>
      <c r="X52">
        <v>3</v>
      </c>
      <c r="Y52">
        <v>2.86</v>
      </c>
      <c r="Z52" t="str">
        <f>IF(Data!Y52&lt;2.1,"Tertil 1",IF(Data!Y52&lt;=2.6,"Tertil 2","Tertil 3"))</f>
        <v>Tertil 3</v>
      </c>
    </row>
    <row r="53" spans="2:26">
      <c r="B53">
        <v>52</v>
      </c>
      <c r="C53" s="8">
        <v>75</v>
      </c>
      <c r="D53" s="8">
        <v>4</v>
      </c>
      <c r="E53" s="8" t="s">
        <v>25</v>
      </c>
      <c r="F53" s="5">
        <f t="shared" si="5"/>
        <v>2</v>
      </c>
      <c r="G53" s="8">
        <v>58.1</v>
      </c>
      <c r="H53" s="8">
        <v>1.46</v>
      </c>
      <c r="I53" s="9">
        <f t="shared" si="6"/>
        <v>27.2565209232501</v>
      </c>
      <c r="J53" t="s">
        <v>29</v>
      </c>
      <c r="K53">
        <v>3</v>
      </c>
      <c r="L53" t="s">
        <v>0</v>
      </c>
      <c r="M53" t="s">
        <v>0</v>
      </c>
      <c r="N53" s="8">
        <v>16</v>
      </c>
      <c r="O53" t="str">
        <f>IF(N53&gt;18,"Normal","Abnormal")</f>
        <v>Abnormal</v>
      </c>
      <c r="P53">
        <v>2</v>
      </c>
      <c r="Q53">
        <v>0.5</v>
      </c>
      <c r="R53" t="str">
        <f t="shared" si="7"/>
        <v>Abnormal</v>
      </c>
      <c r="S53">
        <v>2</v>
      </c>
      <c r="T53" s="8">
        <v>6.18</v>
      </c>
      <c r="U53" t="str">
        <f>IF(T53&gt;5.7,"Normal","Abnormal")</f>
        <v>Normal</v>
      </c>
      <c r="V53">
        <v>1</v>
      </c>
      <c r="W53" t="s">
        <v>22</v>
      </c>
      <c r="X53">
        <v>3</v>
      </c>
      <c r="Y53">
        <v>3.09</v>
      </c>
      <c r="Z53" t="str">
        <f>IF(Data!Y53&lt;2.1,"Tertil 1",IF(Data!Y53&lt;=2.6,"Tertil 2","Tertil 3"))</f>
        <v>Tertil 3</v>
      </c>
    </row>
    <row r="54" spans="2:26">
      <c r="B54">
        <v>53</v>
      </c>
      <c r="C54" s="8">
        <v>62</v>
      </c>
      <c r="D54" s="8">
        <v>4</v>
      </c>
      <c r="E54" s="8" t="s">
        <v>28</v>
      </c>
      <c r="F54" s="5">
        <f t="shared" si="5"/>
        <v>1</v>
      </c>
      <c r="G54" s="8">
        <v>50</v>
      </c>
      <c r="H54" s="8">
        <v>1.45</v>
      </c>
      <c r="I54" s="9">
        <f t="shared" si="6"/>
        <v>23.7812128418549</v>
      </c>
      <c r="J54" t="s">
        <v>34</v>
      </c>
      <c r="K54">
        <v>1</v>
      </c>
      <c r="L54" t="s">
        <v>0</v>
      </c>
      <c r="M54" t="s">
        <v>0</v>
      </c>
      <c r="N54" s="8">
        <v>23.5</v>
      </c>
      <c r="O54" t="str">
        <f>IF(N54&gt;28,"Normal","Abnormal")</f>
        <v>Abnormal</v>
      </c>
      <c r="P54">
        <v>2</v>
      </c>
      <c r="Q54">
        <v>0.8</v>
      </c>
      <c r="R54" t="str">
        <f t="shared" si="7"/>
        <v>Abnormal</v>
      </c>
      <c r="S54">
        <v>2</v>
      </c>
      <c r="T54" s="9">
        <v>5.44114149821641</v>
      </c>
      <c r="U54" t="str">
        <f>IF(T54&gt;7,"Normal","Abnormal")</f>
        <v>Abnormal</v>
      </c>
      <c r="V54">
        <v>2</v>
      </c>
      <c r="W54" t="s">
        <v>33</v>
      </c>
      <c r="X54">
        <v>4</v>
      </c>
      <c r="Y54">
        <v>2.3</v>
      </c>
      <c r="Z54" t="str">
        <f>IF(Data!Y54&lt;2.1,"Tertil 1",IF(Data!Y54&lt;=2.6,"Tertil 2","Tertil 3"))</f>
        <v>Tertil 2</v>
      </c>
    </row>
    <row r="55" spans="2:26">
      <c r="B55">
        <v>54</v>
      </c>
      <c r="C55" s="8">
        <v>65</v>
      </c>
      <c r="D55" s="8">
        <v>4</v>
      </c>
      <c r="E55" s="8" t="s">
        <v>28</v>
      </c>
      <c r="F55" s="5">
        <f t="shared" si="5"/>
        <v>1</v>
      </c>
      <c r="G55" s="8">
        <v>64</v>
      </c>
      <c r="H55" s="8">
        <v>1.65</v>
      </c>
      <c r="I55" s="9">
        <f t="shared" si="6"/>
        <v>23.5078053259871</v>
      </c>
      <c r="J55" t="s">
        <v>34</v>
      </c>
      <c r="K55">
        <v>1</v>
      </c>
      <c r="L55" t="s">
        <v>0</v>
      </c>
      <c r="M55" t="s">
        <v>0</v>
      </c>
      <c r="N55" s="8">
        <v>22.6</v>
      </c>
      <c r="O55" t="str">
        <f>IF(N55&gt;28,"Normal","Abnormal")</f>
        <v>Abnormal</v>
      </c>
      <c r="P55">
        <v>2</v>
      </c>
      <c r="Q55">
        <v>0.6</v>
      </c>
      <c r="R55" t="str">
        <f t="shared" si="7"/>
        <v>Abnormal</v>
      </c>
      <c r="S55">
        <v>2</v>
      </c>
      <c r="T55" s="9">
        <v>6.15904499540863</v>
      </c>
      <c r="U55" t="str">
        <f>IF(T55&gt;7,"Normal","Abnormal")</f>
        <v>Abnormal</v>
      </c>
      <c r="V55">
        <v>2</v>
      </c>
      <c r="W55" t="s">
        <v>33</v>
      </c>
      <c r="X55">
        <v>4</v>
      </c>
      <c r="Y55">
        <v>4</v>
      </c>
      <c r="Z55" t="str">
        <f>IF(Data!Y55&lt;2.1,"Tertil 1",IF(Data!Y55&lt;=2.6,"Tertil 2","Tertil 3"))</f>
        <v>Tertil 3</v>
      </c>
    </row>
    <row r="56" spans="2:26">
      <c r="B56">
        <v>55</v>
      </c>
      <c r="C56" s="8">
        <v>70</v>
      </c>
      <c r="D56" s="8">
        <v>4</v>
      </c>
      <c r="E56" s="8" t="s">
        <v>28</v>
      </c>
      <c r="F56" s="5">
        <f t="shared" si="5"/>
        <v>1</v>
      </c>
      <c r="G56" s="8">
        <v>67</v>
      </c>
      <c r="H56" s="8">
        <v>1.7</v>
      </c>
      <c r="I56" s="9">
        <f t="shared" si="6"/>
        <v>23.1833910034602</v>
      </c>
      <c r="J56" t="s">
        <v>34</v>
      </c>
      <c r="K56">
        <v>1</v>
      </c>
      <c r="L56" t="s">
        <v>0</v>
      </c>
      <c r="M56" t="s">
        <v>0</v>
      </c>
      <c r="N56" s="8">
        <v>22.4</v>
      </c>
      <c r="O56" t="str">
        <f>IF(N56&gt;28,"Normal","Abnormal")</f>
        <v>Abnormal</v>
      </c>
      <c r="P56">
        <v>2</v>
      </c>
      <c r="Q56">
        <v>0.7</v>
      </c>
      <c r="R56" t="str">
        <f t="shared" si="7"/>
        <v>Abnormal</v>
      </c>
      <c r="S56">
        <v>2</v>
      </c>
      <c r="T56" s="9">
        <v>5.10588235294118</v>
      </c>
      <c r="U56" t="str">
        <f>IF(T56&gt;7,"Normal","Abnormal")</f>
        <v>Abnormal</v>
      </c>
      <c r="V56">
        <v>2</v>
      </c>
      <c r="W56" t="s">
        <v>33</v>
      </c>
      <c r="X56">
        <v>4</v>
      </c>
      <c r="Y56">
        <v>2.7</v>
      </c>
      <c r="Z56" t="str">
        <f>IF(Data!Y56&lt;2.1,"Tertil 1",IF(Data!Y56&lt;=2.6,"Tertil 2","Tertil 3"))</f>
        <v>Tertil 3</v>
      </c>
    </row>
    <row r="57" spans="2:26">
      <c r="B57">
        <v>56</v>
      </c>
      <c r="C57" s="8">
        <v>63</v>
      </c>
      <c r="D57" s="8">
        <v>4</v>
      </c>
      <c r="E57" s="8" t="s">
        <v>25</v>
      </c>
      <c r="F57" s="5">
        <f t="shared" si="5"/>
        <v>2</v>
      </c>
      <c r="G57" s="8">
        <v>60</v>
      </c>
      <c r="H57" s="8">
        <v>1.6</v>
      </c>
      <c r="I57" s="9">
        <f t="shared" si="6"/>
        <v>23.4375</v>
      </c>
      <c r="J57" t="s">
        <v>34</v>
      </c>
      <c r="K57">
        <v>1</v>
      </c>
      <c r="L57" t="s">
        <v>0</v>
      </c>
      <c r="M57" t="s">
        <v>0</v>
      </c>
      <c r="N57" s="8">
        <v>10.4</v>
      </c>
      <c r="O57" t="str">
        <f>IF(N57&gt;18,"Normal","Abnormal")</f>
        <v>Abnormal</v>
      </c>
      <c r="P57">
        <v>2</v>
      </c>
      <c r="Q57">
        <v>1</v>
      </c>
      <c r="R57" t="str">
        <f t="shared" si="7"/>
        <v>Normal</v>
      </c>
      <c r="S57">
        <v>1</v>
      </c>
      <c r="T57" s="9">
        <v>5.2109375</v>
      </c>
      <c r="U57" t="str">
        <f>IF(T57&gt;5.7,"Normal","Abnormal")</f>
        <v>Abnormal</v>
      </c>
      <c r="V57">
        <v>2</v>
      </c>
      <c r="W57" t="s">
        <v>22</v>
      </c>
      <c r="X57">
        <v>3</v>
      </c>
      <c r="Y57">
        <v>2.2</v>
      </c>
      <c r="Z57" t="str">
        <f>IF(Data!Y57&lt;2.1,"Tertil 1",IF(Data!Y57&lt;=2.6,"Tertil 2","Tertil 3"))</f>
        <v>Tertil 2</v>
      </c>
    </row>
    <row r="58" spans="2:26">
      <c r="B58">
        <v>57</v>
      </c>
      <c r="C58" s="8">
        <v>75</v>
      </c>
      <c r="D58" s="8">
        <v>4</v>
      </c>
      <c r="E58" s="8" t="s">
        <v>25</v>
      </c>
      <c r="F58" s="5">
        <f t="shared" si="5"/>
        <v>2</v>
      </c>
      <c r="G58" s="8">
        <v>57</v>
      </c>
      <c r="H58" s="8">
        <v>1.56</v>
      </c>
      <c r="I58" s="9">
        <f t="shared" si="6"/>
        <v>23.422090729783</v>
      </c>
      <c r="J58" t="s">
        <v>34</v>
      </c>
      <c r="K58">
        <v>1</v>
      </c>
      <c r="L58" t="s">
        <v>0</v>
      </c>
      <c r="M58" t="s">
        <v>0</v>
      </c>
      <c r="N58" s="8">
        <v>12.4</v>
      </c>
      <c r="O58" t="str">
        <f>IF(N58&gt;18,"Normal","Abnormal")</f>
        <v>Abnormal</v>
      </c>
      <c r="P58">
        <v>2</v>
      </c>
      <c r="Q58">
        <v>1.1</v>
      </c>
      <c r="R58" t="str">
        <f t="shared" si="7"/>
        <v>Normal</v>
      </c>
      <c r="S58">
        <v>1</v>
      </c>
      <c r="T58" s="9">
        <v>4.038461538</v>
      </c>
      <c r="U58" t="str">
        <f>IF(T58&gt;5.7,"Normal","Abnormal")</f>
        <v>Abnormal</v>
      </c>
      <c r="V58">
        <v>2</v>
      </c>
      <c r="W58" t="s">
        <v>22</v>
      </c>
      <c r="X58">
        <v>3</v>
      </c>
      <c r="Y58">
        <v>1.3</v>
      </c>
      <c r="Z58" t="str">
        <f>IF(Data!Y58&lt;2.1,"Tertil 1",IF(Data!Y58&lt;=2.6,"Tertil 2","Tertil 3"))</f>
        <v>Tertil 1</v>
      </c>
    </row>
    <row r="59" spans="2:26">
      <c r="B59">
        <v>58</v>
      </c>
      <c r="C59" s="8">
        <v>63</v>
      </c>
      <c r="D59" s="8">
        <v>4</v>
      </c>
      <c r="E59" s="8" t="s">
        <v>25</v>
      </c>
      <c r="F59" s="5">
        <f t="shared" si="5"/>
        <v>2</v>
      </c>
      <c r="G59" s="8">
        <v>63</v>
      </c>
      <c r="H59" s="8">
        <v>1.58</v>
      </c>
      <c r="I59" s="9">
        <f t="shared" si="6"/>
        <v>25.2363403300753</v>
      </c>
      <c r="J59" t="s">
        <v>26</v>
      </c>
      <c r="K59">
        <v>2</v>
      </c>
      <c r="L59" t="s">
        <v>0</v>
      </c>
      <c r="M59" t="s">
        <v>0</v>
      </c>
      <c r="N59" s="8">
        <v>20.8</v>
      </c>
      <c r="O59" t="str">
        <f>IF(N59&gt;18,"Normal","Abnormal")</f>
        <v>Normal</v>
      </c>
      <c r="P59">
        <v>1</v>
      </c>
      <c r="Q59">
        <v>1</v>
      </c>
      <c r="R59" t="str">
        <f t="shared" si="7"/>
        <v>Normal</v>
      </c>
      <c r="S59">
        <v>1</v>
      </c>
      <c r="T59" s="9">
        <v>6.649575389</v>
      </c>
      <c r="U59" t="str">
        <f>IF(T59&gt;5.7,"Normal","Abnormal")</f>
        <v>Normal</v>
      </c>
      <c r="V59">
        <v>1</v>
      </c>
      <c r="W59" t="s">
        <v>27</v>
      </c>
      <c r="X59">
        <v>1</v>
      </c>
      <c r="Y59">
        <v>2.17</v>
      </c>
      <c r="Z59" t="str">
        <f>IF(Data!Y59&lt;2.1,"Tertil 1",IF(Data!Y59&lt;=2.6,"Tertil 2","Tertil 3"))</f>
        <v>Tertil 2</v>
      </c>
    </row>
    <row r="60" spans="2:26">
      <c r="B60">
        <v>59</v>
      </c>
      <c r="C60" s="8">
        <v>65</v>
      </c>
      <c r="D60" s="8">
        <v>4</v>
      </c>
      <c r="E60" s="8" t="s">
        <v>28</v>
      </c>
      <c r="F60" s="5">
        <f t="shared" si="5"/>
        <v>1</v>
      </c>
      <c r="G60" s="8">
        <v>65</v>
      </c>
      <c r="H60" s="8">
        <v>1.68</v>
      </c>
      <c r="I60" s="9">
        <f t="shared" si="6"/>
        <v>23.0300453514739</v>
      </c>
      <c r="J60" t="s">
        <v>34</v>
      </c>
      <c r="K60">
        <v>1</v>
      </c>
      <c r="L60" t="s">
        <v>0</v>
      </c>
      <c r="M60" t="s">
        <v>0</v>
      </c>
      <c r="N60" s="8">
        <v>25.8</v>
      </c>
      <c r="O60" t="str">
        <f>IF(N60&gt;28,"Normal","Abnormal")</f>
        <v>Abnormal</v>
      </c>
      <c r="P60">
        <v>2</v>
      </c>
      <c r="Q60">
        <v>1</v>
      </c>
      <c r="R60" t="str">
        <f t="shared" si="7"/>
        <v>Normal</v>
      </c>
      <c r="S60">
        <v>1</v>
      </c>
      <c r="T60" s="9">
        <v>5.916950113</v>
      </c>
      <c r="U60" t="str">
        <f>IF(T60&gt;7,"Normal","Abnormal")</f>
        <v>Abnormal</v>
      </c>
      <c r="V60">
        <v>2</v>
      </c>
      <c r="W60" t="s">
        <v>22</v>
      </c>
      <c r="X60">
        <v>3</v>
      </c>
      <c r="Y60">
        <v>2.32</v>
      </c>
      <c r="Z60" t="str">
        <f>IF(Data!Y60&lt;2.1,"Tertil 1",IF(Data!Y60&lt;=2.6,"Tertil 2","Tertil 3"))</f>
        <v>Tertil 2</v>
      </c>
    </row>
    <row r="61" spans="2:26">
      <c r="B61">
        <v>60</v>
      </c>
      <c r="C61" s="8">
        <v>68</v>
      </c>
      <c r="D61" s="8">
        <v>4</v>
      </c>
      <c r="E61" s="8" t="s">
        <v>28</v>
      </c>
      <c r="F61" s="5">
        <f t="shared" si="5"/>
        <v>1</v>
      </c>
      <c r="G61" s="8">
        <v>65</v>
      </c>
      <c r="H61" s="8">
        <v>1.67</v>
      </c>
      <c r="I61" s="9">
        <f t="shared" si="6"/>
        <v>23.3066800530675</v>
      </c>
      <c r="J61" t="s">
        <v>34</v>
      </c>
      <c r="K61">
        <v>1</v>
      </c>
      <c r="L61" t="s">
        <v>0</v>
      </c>
      <c r="M61" t="s">
        <v>0</v>
      </c>
      <c r="N61" s="8">
        <v>25.2</v>
      </c>
      <c r="O61" t="str">
        <f>IF(N61&gt;28,"Normal","Abnormal")</f>
        <v>Abnormal</v>
      </c>
      <c r="P61">
        <v>2</v>
      </c>
      <c r="Q61">
        <v>1.1</v>
      </c>
      <c r="R61" t="str">
        <f t="shared" si="7"/>
        <v>Normal</v>
      </c>
      <c r="S61">
        <v>1</v>
      </c>
      <c r="T61" s="9">
        <v>5.87220768</v>
      </c>
      <c r="U61" t="str">
        <f>IF(T61&gt;7,"Normal","Abnormal")</f>
        <v>Abnormal</v>
      </c>
      <c r="V61">
        <v>2</v>
      </c>
      <c r="W61" t="s">
        <v>22</v>
      </c>
      <c r="X61">
        <v>3</v>
      </c>
      <c r="Y61">
        <v>2.2</v>
      </c>
      <c r="Z61" t="str">
        <f>IF(Data!Y61&lt;2.1,"Tertil 1",IF(Data!Y61&lt;=2.6,"Tertil 2","Tertil 3"))</f>
        <v>Tertil 2</v>
      </c>
    </row>
    <row r="62" spans="2:26">
      <c r="B62">
        <v>61</v>
      </c>
      <c r="C62" s="8">
        <v>68</v>
      </c>
      <c r="D62" s="8">
        <v>4</v>
      </c>
      <c r="E62" s="8" t="s">
        <v>25</v>
      </c>
      <c r="F62" s="5">
        <f t="shared" si="5"/>
        <v>2</v>
      </c>
      <c r="G62" s="8">
        <v>56</v>
      </c>
      <c r="H62" s="8">
        <v>1.55</v>
      </c>
      <c r="I62" s="9">
        <f t="shared" si="6"/>
        <v>23.309053069719</v>
      </c>
      <c r="J62" t="s">
        <v>34</v>
      </c>
      <c r="K62">
        <v>1</v>
      </c>
      <c r="L62" t="s">
        <v>0</v>
      </c>
      <c r="M62" t="s">
        <v>0</v>
      </c>
      <c r="N62" s="8">
        <v>21.7</v>
      </c>
      <c r="O62" t="str">
        <f>IF(N62&gt;18,"Normal","Abnormal")</f>
        <v>Normal</v>
      </c>
      <c r="P62">
        <v>1</v>
      </c>
      <c r="Q62">
        <v>1</v>
      </c>
      <c r="R62" t="str">
        <f t="shared" si="7"/>
        <v>Normal</v>
      </c>
      <c r="S62">
        <v>1</v>
      </c>
      <c r="T62" s="9">
        <v>6.451612903</v>
      </c>
      <c r="U62" t="str">
        <f>IF(T62&gt;5.7,"Normal","Abnormal")</f>
        <v>Normal</v>
      </c>
      <c r="V62">
        <v>1</v>
      </c>
      <c r="W62" t="s">
        <v>27</v>
      </c>
      <c r="X62">
        <v>1</v>
      </c>
      <c r="Y62">
        <v>1.5</v>
      </c>
      <c r="Z62" t="str">
        <f>IF(Data!Y62&lt;2.1,"Tertil 1",IF(Data!Y62&lt;=2.6,"Tertil 2","Tertil 3"))</f>
        <v>Tertil 1</v>
      </c>
    </row>
    <row r="63" spans="2:26">
      <c r="B63">
        <v>62</v>
      </c>
      <c r="C63" s="8">
        <v>64</v>
      </c>
      <c r="D63" s="8">
        <v>4</v>
      </c>
      <c r="E63" s="8" t="s">
        <v>28</v>
      </c>
      <c r="F63" s="5">
        <f t="shared" si="5"/>
        <v>1</v>
      </c>
      <c r="G63" s="8">
        <v>60</v>
      </c>
      <c r="H63" s="8">
        <v>1.61</v>
      </c>
      <c r="I63" s="9">
        <f t="shared" si="6"/>
        <v>23.1472551213302</v>
      </c>
      <c r="J63" t="s">
        <v>34</v>
      </c>
      <c r="K63">
        <v>1</v>
      </c>
      <c r="L63" t="s">
        <v>0</v>
      </c>
      <c r="M63" t="s">
        <v>0</v>
      </c>
      <c r="N63" s="8">
        <v>29</v>
      </c>
      <c r="O63" t="str">
        <f>IF(N63&gt;28,"Normal","Abnormal")</f>
        <v>Normal</v>
      </c>
      <c r="P63">
        <v>1</v>
      </c>
      <c r="Q63">
        <v>1</v>
      </c>
      <c r="R63" t="str">
        <f t="shared" si="7"/>
        <v>Normal</v>
      </c>
      <c r="S63">
        <v>1</v>
      </c>
      <c r="T63" s="9">
        <v>7.1</v>
      </c>
      <c r="U63" t="str">
        <f>IF(T63&gt;7,"Normal","Abnormal")</f>
        <v>Normal</v>
      </c>
      <c r="V63">
        <v>1</v>
      </c>
      <c r="W63" t="s">
        <v>27</v>
      </c>
      <c r="X63">
        <v>1</v>
      </c>
      <c r="Y63">
        <v>1.6</v>
      </c>
      <c r="Z63" t="str">
        <f>IF(Data!Y63&lt;2.1,"Tertil 1",IF(Data!Y63&lt;=2.6,"Tertil 2","Tertil 3"))</f>
        <v>Tertil 1</v>
      </c>
    </row>
    <row r="64" spans="2:26">
      <c r="B64">
        <v>63</v>
      </c>
      <c r="C64" s="8">
        <v>74</v>
      </c>
      <c r="D64" s="8">
        <v>4</v>
      </c>
      <c r="E64" s="8" t="s">
        <v>28</v>
      </c>
      <c r="F64" s="5">
        <f t="shared" si="5"/>
        <v>1</v>
      </c>
      <c r="G64" s="8">
        <v>71</v>
      </c>
      <c r="H64" s="8">
        <v>1.68</v>
      </c>
      <c r="I64" s="9">
        <f t="shared" si="6"/>
        <v>25.15589569161</v>
      </c>
      <c r="J64" t="s">
        <v>26</v>
      </c>
      <c r="K64">
        <v>2</v>
      </c>
      <c r="L64" t="s">
        <v>0</v>
      </c>
      <c r="M64" t="s">
        <v>0</v>
      </c>
      <c r="N64" s="8">
        <v>16.8</v>
      </c>
      <c r="O64" t="str">
        <f>IF(N64&gt;28,"Normal","Abnormal")</f>
        <v>Abnormal</v>
      </c>
      <c r="P64">
        <v>2</v>
      </c>
      <c r="Q64">
        <v>0.6</v>
      </c>
      <c r="R64" t="str">
        <f t="shared" si="7"/>
        <v>Abnormal</v>
      </c>
      <c r="S64">
        <v>2</v>
      </c>
      <c r="T64" s="9">
        <v>6.641156463</v>
      </c>
      <c r="U64" t="str">
        <f>IF(T64&gt;7,"Normal","Abnormal")</f>
        <v>Abnormal</v>
      </c>
      <c r="V64">
        <v>2</v>
      </c>
      <c r="W64" t="s">
        <v>33</v>
      </c>
      <c r="X64">
        <v>4</v>
      </c>
      <c r="Y64">
        <v>3.8</v>
      </c>
      <c r="Z64" t="str">
        <f>IF(Data!Y64&lt;2.1,"Tertil 1",IF(Data!Y64&lt;=2.6,"Tertil 2","Tertil 3"))</f>
        <v>Tertil 3</v>
      </c>
    </row>
    <row r="65" spans="2:26">
      <c r="B65">
        <v>64</v>
      </c>
      <c r="C65" s="8">
        <v>67</v>
      </c>
      <c r="D65" s="8">
        <v>4</v>
      </c>
      <c r="E65" s="8" t="s">
        <v>28</v>
      </c>
      <c r="F65" s="5">
        <f t="shared" si="5"/>
        <v>1</v>
      </c>
      <c r="G65" s="8">
        <v>60</v>
      </c>
      <c r="H65" s="8">
        <v>1.6</v>
      </c>
      <c r="I65" s="9">
        <f t="shared" si="6"/>
        <v>23.4375</v>
      </c>
      <c r="J65" s="6" t="s">
        <v>34</v>
      </c>
      <c r="K65">
        <v>1</v>
      </c>
      <c r="L65" t="s">
        <v>0</v>
      </c>
      <c r="M65" t="s">
        <v>0</v>
      </c>
      <c r="N65" s="8">
        <v>26</v>
      </c>
      <c r="O65" t="str">
        <f>IF(N65&gt;28,"Normal","Abnormal")</f>
        <v>Abnormal</v>
      </c>
      <c r="P65">
        <v>2</v>
      </c>
      <c r="Q65">
        <v>0.8</v>
      </c>
      <c r="R65" t="str">
        <f t="shared" si="7"/>
        <v>Abnormal</v>
      </c>
      <c r="S65">
        <v>2</v>
      </c>
      <c r="T65" s="9">
        <v>5.27890625</v>
      </c>
      <c r="U65" t="str">
        <f>IF(T65&gt;7,"Normal","Abnormal")</f>
        <v>Abnormal</v>
      </c>
      <c r="V65">
        <v>2</v>
      </c>
      <c r="W65" t="s">
        <v>33</v>
      </c>
      <c r="X65">
        <v>4</v>
      </c>
      <c r="Y65">
        <v>3.78</v>
      </c>
      <c r="Z65" t="str">
        <f>IF(Data!Y65&lt;2.1,"Tertil 1",IF(Data!Y65&lt;=2.6,"Tertil 2","Tertil 3"))</f>
        <v>Tertil 3</v>
      </c>
    </row>
    <row r="66" spans="2:26">
      <c r="B66">
        <v>65</v>
      </c>
      <c r="C66" s="10">
        <v>65</v>
      </c>
      <c r="D66" s="8">
        <v>4</v>
      </c>
      <c r="E66" s="8" t="s">
        <v>28</v>
      </c>
      <c r="F66" s="5">
        <f t="shared" ref="F66:F97" si="8">IF(E66="Male",1,2)</f>
        <v>1</v>
      </c>
      <c r="G66" s="10">
        <v>66</v>
      </c>
      <c r="H66" s="10">
        <v>1.6</v>
      </c>
      <c r="I66" s="11">
        <v>25.78125</v>
      </c>
      <c r="J66" s="6" t="s">
        <v>26</v>
      </c>
      <c r="K66">
        <v>2</v>
      </c>
      <c r="L66" t="s">
        <v>0</v>
      </c>
      <c r="M66" t="s">
        <v>0</v>
      </c>
      <c r="N66" s="10">
        <v>32.6</v>
      </c>
      <c r="O66" t="str">
        <f>IF(N66&gt;28,"Normal","Abnormal")</f>
        <v>Normal</v>
      </c>
      <c r="P66">
        <v>1</v>
      </c>
      <c r="Q66">
        <v>1</v>
      </c>
      <c r="R66" t="str">
        <f t="shared" si="7"/>
        <v>Normal</v>
      </c>
      <c r="S66">
        <v>1</v>
      </c>
      <c r="T66" s="12">
        <v>8.515625</v>
      </c>
      <c r="U66" t="str">
        <f>IF(T66&gt;7,"Normal","Abnormal")</f>
        <v>Normal</v>
      </c>
      <c r="V66">
        <v>1</v>
      </c>
      <c r="W66" t="s">
        <v>27</v>
      </c>
      <c r="X66">
        <v>1</v>
      </c>
      <c r="Y66">
        <v>1.8</v>
      </c>
      <c r="Z66" t="str">
        <f>IF(Data!Y66&lt;2.1,"Tertil 1",IF(Data!Y66&lt;=2.6,"Tertil 2","Tertil 3"))</f>
        <v>Tertil 1</v>
      </c>
    </row>
    <row r="67" spans="2:26">
      <c r="B67">
        <v>66</v>
      </c>
      <c r="C67" s="10">
        <v>60</v>
      </c>
      <c r="D67" s="8">
        <v>4</v>
      </c>
      <c r="E67" s="8" t="s">
        <v>25</v>
      </c>
      <c r="F67" s="5">
        <f t="shared" si="8"/>
        <v>2</v>
      </c>
      <c r="G67" s="10">
        <v>60</v>
      </c>
      <c r="H67" s="10">
        <v>1.58</v>
      </c>
      <c r="I67" s="11">
        <v>24.03461</v>
      </c>
      <c r="J67" s="6" t="s">
        <v>34</v>
      </c>
      <c r="K67">
        <v>1</v>
      </c>
      <c r="L67" t="s">
        <v>0</v>
      </c>
      <c r="M67" t="s">
        <v>0</v>
      </c>
      <c r="N67" s="10">
        <v>15.6</v>
      </c>
      <c r="O67" t="str">
        <f>IF(N67&gt;18,"Normal","Abnormal")</f>
        <v>Abnormal</v>
      </c>
      <c r="P67">
        <v>2</v>
      </c>
      <c r="Q67">
        <v>1</v>
      </c>
      <c r="R67" t="str">
        <f t="shared" si="7"/>
        <v>Normal</v>
      </c>
      <c r="S67">
        <v>1</v>
      </c>
      <c r="T67" s="12">
        <v>6.088768</v>
      </c>
      <c r="U67" t="str">
        <f>IF(T67&gt;5.7,"Normal","Abnormal")</f>
        <v>Normal</v>
      </c>
      <c r="V67">
        <v>1</v>
      </c>
      <c r="W67" t="s">
        <v>35</v>
      </c>
      <c r="X67">
        <v>2</v>
      </c>
      <c r="Y67">
        <v>2.4</v>
      </c>
      <c r="Z67" t="str">
        <f>IF(Data!Y67&lt;2.1,"Tertil 1",IF(Data!Y67&lt;=2.6,"Tertil 2","Tertil 3"))</f>
        <v>Tertil 2</v>
      </c>
    </row>
    <row r="68" spans="2:26">
      <c r="B68">
        <v>67</v>
      </c>
      <c r="C68" s="10">
        <v>60</v>
      </c>
      <c r="D68" s="8">
        <v>4</v>
      </c>
      <c r="E68" s="8" t="s">
        <v>28</v>
      </c>
      <c r="F68" s="5">
        <f t="shared" si="8"/>
        <v>1</v>
      </c>
      <c r="G68" s="10">
        <v>75</v>
      </c>
      <c r="H68" s="10">
        <v>1.73</v>
      </c>
      <c r="I68" s="11">
        <v>25.05931</v>
      </c>
      <c r="J68" s="6" t="s">
        <v>26</v>
      </c>
      <c r="K68">
        <v>2</v>
      </c>
      <c r="L68" t="s">
        <v>32</v>
      </c>
      <c r="M68" t="s">
        <v>0</v>
      </c>
      <c r="N68" s="10">
        <v>32.4</v>
      </c>
      <c r="O68" t="str">
        <f>IF(N68&gt;28,"Normal","Abnormal")</f>
        <v>Normal</v>
      </c>
      <c r="P68">
        <v>1</v>
      </c>
      <c r="Q68">
        <v>1.2</v>
      </c>
      <c r="R68" t="str">
        <f t="shared" si="7"/>
        <v>Normal</v>
      </c>
      <c r="S68">
        <v>1</v>
      </c>
      <c r="T68" s="12">
        <v>7.785091</v>
      </c>
      <c r="U68" t="str">
        <f>IF(T68&gt;7,"Normal","Abnormal")</f>
        <v>Normal</v>
      </c>
      <c r="V68">
        <v>1</v>
      </c>
      <c r="W68" t="s">
        <v>27</v>
      </c>
      <c r="X68">
        <v>1</v>
      </c>
      <c r="Y68">
        <v>1.8</v>
      </c>
      <c r="Z68" t="str">
        <f>IF(Data!Y68&lt;2.1,"Tertil 1",IF(Data!Y68&lt;=2.6,"Tertil 2","Tertil 3"))</f>
        <v>Tertil 1</v>
      </c>
    </row>
    <row r="69" spans="2:26">
      <c r="B69">
        <v>68</v>
      </c>
      <c r="C69" s="10">
        <v>62</v>
      </c>
      <c r="D69" s="8">
        <v>4</v>
      </c>
      <c r="E69" s="8" t="s">
        <v>28</v>
      </c>
      <c r="F69" s="5">
        <f t="shared" si="8"/>
        <v>1</v>
      </c>
      <c r="G69" s="10">
        <v>63</v>
      </c>
      <c r="H69" s="10">
        <v>1.65</v>
      </c>
      <c r="I69" s="11">
        <f>G69/(H69^2)</f>
        <v>23.1404958677686</v>
      </c>
      <c r="J69" s="6" t="s">
        <v>34</v>
      </c>
      <c r="K69">
        <v>1</v>
      </c>
      <c r="L69" t="s">
        <v>0</v>
      </c>
      <c r="M69" t="s">
        <v>0</v>
      </c>
      <c r="N69" s="10">
        <v>28.3</v>
      </c>
      <c r="O69" t="str">
        <f>IF(N69&gt;28,"Normal","Abnormal")</f>
        <v>Normal</v>
      </c>
      <c r="P69">
        <v>1</v>
      </c>
      <c r="Q69">
        <v>1.2</v>
      </c>
      <c r="R69" t="str">
        <f t="shared" si="7"/>
        <v>Normal</v>
      </c>
      <c r="S69">
        <v>1</v>
      </c>
      <c r="T69" s="12">
        <v>8.007346</v>
      </c>
      <c r="U69" t="str">
        <f>IF(T69&gt;7,"Normal","Abnormal")</f>
        <v>Normal</v>
      </c>
      <c r="V69">
        <v>1</v>
      </c>
      <c r="W69" t="s">
        <v>27</v>
      </c>
      <c r="X69">
        <v>1</v>
      </c>
      <c r="Y69">
        <v>2</v>
      </c>
      <c r="Z69" t="str">
        <f>IF(Data!Y69&lt;2.1,"Tertil 1",IF(Data!Y69&lt;=2.6,"Tertil 2","Tertil 3"))</f>
        <v>Tertil 1</v>
      </c>
    </row>
    <row r="70" spans="2:26">
      <c r="B70">
        <v>69</v>
      </c>
      <c r="C70" s="10">
        <v>68</v>
      </c>
      <c r="D70" s="8">
        <v>4</v>
      </c>
      <c r="E70" s="8" t="s">
        <v>28</v>
      </c>
      <c r="F70" s="5">
        <f t="shared" si="8"/>
        <v>1</v>
      </c>
      <c r="G70" s="10">
        <v>63</v>
      </c>
      <c r="H70" s="10">
        <v>1.65</v>
      </c>
      <c r="I70" s="11">
        <f>G70/(H70^2)</f>
        <v>23.1404958677686</v>
      </c>
      <c r="J70" s="6" t="s">
        <v>34</v>
      </c>
      <c r="K70">
        <v>1</v>
      </c>
      <c r="L70" t="s">
        <v>0</v>
      </c>
      <c r="M70" t="s">
        <v>0</v>
      </c>
      <c r="N70" s="10">
        <v>20.7</v>
      </c>
      <c r="O70" t="str">
        <f>IF(N70&gt;28,"Normal","Abnormal")</f>
        <v>Abnormal</v>
      </c>
      <c r="P70">
        <v>2</v>
      </c>
      <c r="Q70">
        <v>0.8</v>
      </c>
      <c r="R70" t="str">
        <f t="shared" si="7"/>
        <v>Abnormal</v>
      </c>
      <c r="S70">
        <v>2</v>
      </c>
      <c r="T70" s="12">
        <v>5.215794</v>
      </c>
      <c r="U70" t="str">
        <f>IF(T70&gt;7,"Normal","Abnormal")</f>
        <v>Abnormal</v>
      </c>
      <c r="V70">
        <v>2</v>
      </c>
      <c r="W70" t="s">
        <v>33</v>
      </c>
      <c r="X70">
        <v>4</v>
      </c>
      <c r="Y70">
        <v>2.8</v>
      </c>
      <c r="Z70" t="str">
        <f>IF(Data!Y70&lt;2.1,"Tertil 1",IF(Data!Y70&lt;=2.6,"Tertil 2","Tertil 3"))</f>
        <v>Tertil 3</v>
      </c>
    </row>
    <row r="71" spans="2:26">
      <c r="B71">
        <v>70</v>
      </c>
      <c r="C71" s="10">
        <v>62</v>
      </c>
      <c r="D71" s="8">
        <v>4</v>
      </c>
      <c r="E71" s="8" t="s">
        <v>28</v>
      </c>
      <c r="F71" s="5">
        <f t="shared" si="8"/>
        <v>1</v>
      </c>
      <c r="G71" s="10">
        <v>67.8</v>
      </c>
      <c r="H71" s="10">
        <v>1.64</v>
      </c>
      <c r="I71" s="11">
        <v>25.20821</v>
      </c>
      <c r="J71" s="6" t="s">
        <v>26</v>
      </c>
      <c r="K71">
        <v>2</v>
      </c>
      <c r="L71" t="s">
        <v>0</v>
      </c>
      <c r="M71" t="s">
        <v>0</v>
      </c>
      <c r="N71" s="10">
        <v>30.8</v>
      </c>
      <c r="O71" t="str">
        <f>IF(N71&gt;28,"Normal","Abnormal")</f>
        <v>Normal</v>
      </c>
      <c r="P71">
        <v>1</v>
      </c>
      <c r="Q71">
        <v>1</v>
      </c>
      <c r="R71" t="str">
        <f t="shared" si="7"/>
        <v>Normal</v>
      </c>
      <c r="S71">
        <v>1</v>
      </c>
      <c r="T71" s="12">
        <v>7.03309</v>
      </c>
      <c r="U71" t="str">
        <f>IF(T71&gt;7,"Normal","Abnormal")</f>
        <v>Normal</v>
      </c>
      <c r="V71">
        <v>1</v>
      </c>
      <c r="W71" t="s">
        <v>27</v>
      </c>
      <c r="X71">
        <v>1</v>
      </c>
      <c r="Y71">
        <v>2</v>
      </c>
      <c r="Z71" t="str">
        <f>IF(Data!Y71&lt;2.1,"Tertil 1",IF(Data!Y71&lt;=2.6,"Tertil 2","Tertil 3"))</f>
        <v>Tertil 1</v>
      </c>
    </row>
    <row r="72" spans="2:26">
      <c r="B72">
        <v>71</v>
      </c>
      <c r="C72">
        <v>65</v>
      </c>
      <c r="D72" s="8">
        <v>4</v>
      </c>
      <c r="E72" s="8" t="s">
        <v>25</v>
      </c>
      <c r="F72" s="5">
        <f t="shared" si="8"/>
        <v>2</v>
      </c>
      <c r="G72">
        <v>60</v>
      </c>
      <c r="H72">
        <v>160</v>
      </c>
      <c r="I72" s="6">
        <f t="shared" ref="I72:I101" si="9">SUM(G72/(H72/100)/(H72/100))</f>
        <v>23.4375</v>
      </c>
      <c r="J72" s="6" t="s">
        <v>34</v>
      </c>
      <c r="K72">
        <v>1</v>
      </c>
      <c r="L72" t="s">
        <v>0</v>
      </c>
      <c r="M72" t="s">
        <v>0</v>
      </c>
      <c r="N72">
        <v>22</v>
      </c>
      <c r="O72" t="str">
        <f>IF(N72&gt;18,"Normal","Abnormal")</f>
        <v>Normal</v>
      </c>
      <c r="P72">
        <v>1</v>
      </c>
      <c r="Q72" s="13">
        <v>0.5</v>
      </c>
      <c r="R72" t="str">
        <f t="shared" si="7"/>
        <v>Abnormal</v>
      </c>
      <c r="S72">
        <v>2</v>
      </c>
      <c r="T72" s="12">
        <v>5.6</v>
      </c>
      <c r="U72" t="str">
        <f>IF(T72&gt;5.7,"Normal","Abnormal")</f>
        <v>Abnormal</v>
      </c>
      <c r="V72">
        <v>2</v>
      </c>
      <c r="W72" t="s">
        <v>22</v>
      </c>
      <c r="X72">
        <v>3</v>
      </c>
      <c r="Y72">
        <v>2.07</v>
      </c>
      <c r="Z72" t="str">
        <f>IF(Data!Y72&lt;2.1,"Tertil 1",IF(Data!Y72&lt;=2.6,"Tertil 2","Tertil 3"))</f>
        <v>Tertil 1</v>
      </c>
    </row>
    <row r="73" spans="2:26">
      <c r="B73">
        <v>72</v>
      </c>
      <c r="C73">
        <v>64</v>
      </c>
      <c r="D73" s="8">
        <v>4</v>
      </c>
      <c r="E73" s="8" t="s">
        <v>28</v>
      </c>
      <c r="F73" s="5">
        <f t="shared" si="8"/>
        <v>1</v>
      </c>
      <c r="G73">
        <v>50</v>
      </c>
      <c r="H73">
        <v>145</v>
      </c>
      <c r="I73" s="6">
        <f t="shared" si="9"/>
        <v>23.7812128418549</v>
      </c>
      <c r="J73" s="6" t="s">
        <v>34</v>
      </c>
      <c r="K73">
        <v>1</v>
      </c>
      <c r="L73" t="s">
        <v>0</v>
      </c>
      <c r="M73" t="s">
        <v>0</v>
      </c>
      <c r="N73">
        <v>18</v>
      </c>
      <c r="O73" t="str">
        <f>IF(N73&gt;28,"Normal","Abnormal")</f>
        <v>Abnormal</v>
      </c>
      <c r="P73">
        <v>2</v>
      </c>
      <c r="Q73" s="13">
        <v>0.6</v>
      </c>
      <c r="R73" t="str">
        <f t="shared" si="7"/>
        <v>Abnormal</v>
      </c>
      <c r="S73">
        <v>2</v>
      </c>
      <c r="T73" s="12">
        <v>6.2</v>
      </c>
      <c r="U73" t="str">
        <f>IF(T73&gt;7,"Normal","Abnormal")</f>
        <v>Abnormal</v>
      </c>
      <c r="V73">
        <v>2</v>
      </c>
      <c r="W73" t="s">
        <v>33</v>
      </c>
      <c r="X73">
        <v>4</v>
      </c>
      <c r="Y73">
        <v>2.44</v>
      </c>
      <c r="Z73" t="str">
        <f>IF(Data!Y73&lt;2.1,"Tertil 1",IF(Data!Y73&lt;=2.6,"Tertil 2","Tertil 3"))</f>
        <v>Tertil 2</v>
      </c>
    </row>
    <row r="74" spans="2:26">
      <c r="B74">
        <v>73</v>
      </c>
      <c r="C74">
        <v>63</v>
      </c>
      <c r="D74" s="8">
        <v>4</v>
      </c>
      <c r="E74" s="8" t="s">
        <v>28</v>
      </c>
      <c r="F74" s="5">
        <f t="shared" si="8"/>
        <v>1</v>
      </c>
      <c r="G74">
        <v>83</v>
      </c>
      <c r="H74">
        <v>161</v>
      </c>
      <c r="I74" s="6">
        <f t="shared" si="9"/>
        <v>32.0203695845068</v>
      </c>
      <c r="J74" s="6" t="s">
        <v>29</v>
      </c>
      <c r="K74">
        <v>3</v>
      </c>
      <c r="L74" t="s">
        <v>0</v>
      </c>
      <c r="M74" t="s">
        <v>0</v>
      </c>
      <c r="N74">
        <v>24</v>
      </c>
      <c r="O74" t="str">
        <f>IF(N74&gt;28,"Normal","Abnormal")</f>
        <v>Abnormal</v>
      </c>
      <c r="P74">
        <v>2</v>
      </c>
      <c r="Q74" s="13">
        <v>1</v>
      </c>
      <c r="R74" t="str">
        <f t="shared" si="7"/>
        <v>Normal</v>
      </c>
      <c r="S74">
        <v>1</v>
      </c>
      <c r="T74" s="12">
        <v>5.5</v>
      </c>
      <c r="U74" t="str">
        <f>IF(T74&gt;7,"Normal","Abnormal")</f>
        <v>Abnormal</v>
      </c>
      <c r="V74">
        <v>2</v>
      </c>
      <c r="W74" t="s">
        <v>22</v>
      </c>
      <c r="X74">
        <v>3</v>
      </c>
      <c r="Y74">
        <v>3.1</v>
      </c>
      <c r="Z74" t="str">
        <f>IF(Data!Y74&lt;2.1,"Tertil 1",IF(Data!Y74&lt;=2.6,"Tertil 2","Tertil 3"))</f>
        <v>Tertil 3</v>
      </c>
    </row>
    <row r="75" spans="2:26">
      <c r="B75">
        <v>74</v>
      </c>
      <c r="C75">
        <v>60</v>
      </c>
      <c r="D75" s="8">
        <v>4</v>
      </c>
      <c r="E75" s="8" t="s">
        <v>25</v>
      </c>
      <c r="F75" s="5">
        <f t="shared" si="8"/>
        <v>2</v>
      </c>
      <c r="G75">
        <v>55</v>
      </c>
      <c r="H75">
        <v>151</v>
      </c>
      <c r="I75" s="6">
        <f t="shared" si="9"/>
        <v>24.1217490460945</v>
      </c>
      <c r="J75" s="6" t="s">
        <v>34</v>
      </c>
      <c r="K75">
        <v>1</v>
      </c>
      <c r="L75" t="s">
        <v>0</v>
      </c>
      <c r="M75" t="s">
        <v>32</v>
      </c>
      <c r="N75">
        <v>22</v>
      </c>
      <c r="O75" t="str">
        <f>IF(N75&gt;18,"Normal","Abnormal")</f>
        <v>Normal</v>
      </c>
      <c r="P75">
        <v>1</v>
      </c>
      <c r="Q75" s="13">
        <v>0.8</v>
      </c>
      <c r="R75" t="str">
        <f t="shared" si="7"/>
        <v>Abnormal</v>
      </c>
      <c r="S75">
        <v>2</v>
      </c>
      <c r="T75" s="12">
        <v>4</v>
      </c>
      <c r="U75" t="str">
        <f>IF(T75&gt;5.7,"Normal","Abnormal")</f>
        <v>Abnormal</v>
      </c>
      <c r="V75">
        <v>2</v>
      </c>
      <c r="W75" t="s">
        <v>31</v>
      </c>
      <c r="X75">
        <v>2</v>
      </c>
      <c r="Y75">
        <v>3.85</v>
      </c>
      <c r="Z75" t="str">
        <f>IF(Data!Y75&lt;2.1,"Tertil 1",IF(Data!Y75&lt;=2.6,"Tertil 2","Tertil 3"))</f>
        <v>Tertil 3</v>
      </c>
    </row>
    <row r="76" spans="2:26">
      <c r="B76">
        <v>75</v>
      </c>
      <c r="C76">
        <v>58</v>
      </c>
      <c r="D76">
        <v>3</v>
      </c>
      <c r="E76" s="8" t="s">
        <v>28</v>
      </c>
      <c r="F76" s="5">
        <f t="shared" si="8"/>
        <v>1</v>
      </c>
      <c r="G76">
        <v>56</v>
      </c>
      <c r="H76">
        <v>155</v>
      </c>
      <c r="I76" s="6">
        <f t="shared" si="9"/>
        <v>23.309053069719</v>
      </c>
      <c r="J76" s="6" t="s">
        <v>34</v>
      </c>
      <c r="K76">
        <v>1</v>
      </c>
      <c r="L76" t="s">
        <v>0</v>
      </c>
      <c r="M76" t="s">
        <v>0</v>
      </c>
      <c r="N76">
        <v>39</v>
      </c>
      <c r="O76" t="str">
        <f>IF(N76&gt;28,"Normal","Abnormal")</f>
        <v>Normal</v>
      </c>
      <c r="P76">
        <v>1</v>
      </c>
      <c r="Q76" s="13">
        <v>0.4</v>
      </c>
      <c r="R76" t="str">
        <f t="shared" ref="R76:R101" si="10">IF(Q76&lt;1,"Abnormal","Normal")</f>
        <v>Abnormal</v>
      </c>
      <c r="S76">
        <v>2</v>
      </c>
      <c r="T76" s="12">
        <v>6</v>
      </c>
      <c r="U76" t="str">
        <f>IF(T76&gt;7,"Normal","Abnormal")</f>
        <v>Abnormal</v>
      </c>
      <c r="V76">
        <v>2</v>
      </c>
      <c r="W76" t="s">
        <v>22</v>
      </c>
      <c r="X76">
        <v>3</v>
      </c>
      <c r="Y76">
        <v>2.2</v>
      </c>
      <c r="Z76" t="str">
        <f>IF(Data!Y76&lt;2.1,"Tertil 1",IF(Data!Y76&lt;=2.6,"Tertil 2","Tertil 3"))</f>
        <v>Tertil 2</v>
      </c>
    </row>
    <row r="77" spans="2:26">
      <c r="B77">
        <v>76</v>
      </c>
      <c r="C77">
        <v>73</v>
      </c>
      <c r="D77" s="8">
        <v>4</v>
      </c>
      <c r="E77" s="8" t="s">
        <v>25</v>
      </c>
      <c r="F77" s="5">
        <f t="shared" si="8"/>
        <v>2</v>
      </c>
      <c r="G77">
        <v>57</v>
      </c>
      <c r="H77">
        <v>137</v>
      </c>
      <c r="I77" s="6">
        <f t="shared" si="9"/>
        <v>30.3692258511375</v>
      </c>
      <c r="J77" s="6" t="s">
        <v>29</v>
      </c>
      <c r="K77">
        <v>3</v>
      </c>
      <c r="L77" t="s">
        <v>32</v>
      </c>
      <c r="M77" t="s">
        <v>0</v>
      </c>
      <c r="N77">
        <v>14</v>
      </c>
      <c r="O77" t="str">
        <f>IF(N77&gt;18,"Normal","Abnormal")</f>
        <v>Abnormal</v>
      </c>
      <c r="P77">
        <v>2</v>
      </c>
      <c r="Q77" s="13">
        <v>0.8</v>
      </c>
      <c r="R77" t="str">
        <f t="shared" si="10"/>
        <v>Abnormal</v>
      </c>
      <c r="S77">
        <v>2</v>
      </c>
      <c r="T77" s="12">
        <v>4.8</v>
      </c>
      <c r="U77" t="str">
        <f>IF(T77&gt;5.7,"Normal","Abnormal")</f>
        <v>Abnormal</v>
      </c>
      <c r="V77">
        <v>2</v>
      </c>
      <c r="W77" t="s">
        <v>33</v>
      </c>
      <c r="X77">
        <v>4</v>
      </c>
      <c r="Y77">
        <v>2.28</v>
      </c>
      <c r="Z77" t="str">
        <f>IF(Data!Y77&lt;2.1,"Tertil 1",IF(Data!Y77&lt;=2.6,"Tertil 2","Tertil 3"))</f>
        <v>Tertil 2</v>
      </c>
    </row>
    <row r="78" spans="2:26">
      <c r="B78">
        <v>77</v>
      </c>
      <c r="C78">
        <v>39</v>
      </c>
      <c r="D78">
        <v>1</v>
      </c>
      <c r="E78" s="8" t="s">
        <v>25</v>
      </c>
      <c r="F78" s="5">
        <f t="shared" si="8"/>
        <v>2</v>
      </c>
      <c r="G78">
        <v>55</v>
      </c>
      <c r="H78">
        <v>145</v>
      </c>
      <c r="I78" s="6">
        <f t="shared" si="9"/>
        <v>26.1593341260404</v>
      </c>
      <c r="J78" s="6" t="s">
        <v>26</v>
      </c>
      <c r="K78">
        <v>2</v>
      </c>
      <c r="L78" t="s">
        <v>0</v>
      </c>
      <c r="M78" t="s">
        <v>32</v>
      </c>
      <c r="N78">
        <v>27</v>
      </c>
      <c r="O78" t="str">
        <f>IF(N78&gt;18,"Normal","Abnormal")</f>
        <v>Normal</v>
      </c>
      <c r="P78">
        <v>1</v>
      </c>
      <c r="Q78" s="13">
        <v>0.8</v>
      </c>
      <c r="R78" t="str">
        <f t="shared" si="10"/>
        <v>Abnormal</v>
      </c>
      <c r="S78">
        <v>2</v>
      </c>
      <c r="T78" s="12">
        <v>5.8</v>
      </c>
      <c r="U78" t="str">
        <f>IF(T78&gt;5.7,"Normal","Abnormal")</f>
        <v>Normal</v>
      </c>
      <c r="V78">
        <v>1</v>
      </c>
      <c r="W78" t="s">
        <v>31</v>
      </c>
      <c r="X78">
        <v>2</v>
      </c>
      <c r="Y78">
        <v>1.7</v>
      </c>
      <c r="Z78" t="str">
        <f>IF(Data!Y78&lt;2.1,"Tertil 1",IF(Data!Y78&lt;=2.6,"Tertil 2","Tertil 3"))</f>
        <v>Tertil 1</v>
      </c>
    </row>
    <row r="79" spans="2:26">
      <c r="B79">
        <v>78</v>
      </c>
      <c r="C79">
        <v>69</v>
      </c>
      <c r="D79" s="8">
        <v>4</v>
      </c>
      <c r="E79" s="8" t="s">
        <v>28</v>
      </c>
      <c r="F79" s="5">
        <f t="shared" si="8"/>
        <v>1</v>
      </c>
      <c r="G79">
        <v>70</v>
      </c>
      <c r="H79">
        <v>160</v>
      </c>
      <c r="I79" s="6">
        <f t="shared" si="9"/>
        <v>27.34375</v>
      </c>
      <c r="J79" s="6" t="s">
        <v>26</v>
      </c>
      <c r="K79">
        <v>2</v>
      </c>
      <c r="L79" t="s">
        <v>32</v>
      </c>
      <c r="M79" t="s">
        <v>0</v>
      </c>
      <c r="N79">
        <v>32</v>
      </c>
      <c r="O79" t="str">
        <f>IF(N79&gt;28,"Normal","Abnormal")</f>
        <v>Normal</v>
      </c>
      <c r="P79">
        <v>1</v>
      </c>
      <c r="Q79" s="13">
        <v>0.8</v>
      </c>
      <c r="R79" t="str">
        <f t="shared" si="10"/>
        <v>Abnormal</v>
      </c>
      <c r="S79">
        <v>2</v>
      </c>
      <c r="T79" s="12">
        <v>5.7</v>
      </c>
      <c r="U79" t="str">
        <f>IF(T79&gt;7,"Normal","Abnormal")</f>
        <v>Abnormal</v>
      </c>
      <c r="V79">
        <v>2</v>
      </c>
      <c r="W79" t="s">
        <v>22</v>
      </c>
      <c r="X79">
        <v>3</v>
      </c>
      <c r="Y79">
        <v>1.8</v>
      </c>
      <c r="Z79" t="str">
        <f>IF(Data!Y79&lt;2.1,"Tertil 1",IF(Data!Y79&lt;=2.6,"Tertil 2","Tertil 3"))</f>
        <v>Tertil 1</v>
      </c>
    </row>
    <row r="80" spans="2:26">
      <c r="B80">
        <v>79</v>
      </c>
      <c r="C80">
        <v>69</v>
      </c>
      <c r="D80" s="8">
        <v>4</v>
      </c>
      <c r="E80" s="8" t="s">
        <v>28</v>
      </c>
      <c r="F80" s="5">
        <f t="shared" si="8"/>
        <v>1</v>
      </c>
      <c r="G80">
        <v>71</v>
      </c>
      <c r="H80">
        <v>156</v>
      </c>
      <c r="I80" s="6">
        <f t="shared" si="9"/>
        <v>29.1748849441157</v>
      </c>
      <c r="J80" s="6" t="s">
        <v>26</v>
      </c>
      <c r="K80">
        <v>2</v>
      </c>
      <c r="L80" t="s">
        <v>32</v>
      </c>
      <c r="M80" t="s">
        <v>0</v>
      </c>
      <c r="N80">
        <v>32</v>
      </c>
      <c r="O80" t="str">
        <f>IF(N80&gt;28,"Normal","Abnormal")</f>
        <v>Normal</v>
      </c>
      <c r="P80">
        <v>1</v>
      </c>
      <c r="Q80" s="13">
        <v>0.8</v>
      </c>
      <c r="R80" t="str">
        <f t="shared" si="10"/>
        <v>Abnormal</v>
      </c>
      <c r="S80">
        <v>2</v>
      </c>
      <c r="T80" s="12">
        <v>6.3</v>
      </c>
      <c r="U80" t="str">
        <f>IF(T80&gt;7,"Normal","Abnormal")</f>
        <v>Abnormal</v>
      </c>
      <c r="V80">
        <v>2</v>
      </c>
      <c r="W80" t="s">
        <v>22</v>
      </c>
      <c r="X80">
        <v>3</v>
      </c>
      <c r="Y80">
        <v>2.45</v>
      </c>
      <c r="Z80" t="str">
        <f>IF(Data!Y80&lt;2.1,"Tertil 1",IF(Data!Y80&lt;=2.6,"Tertil 2","Tertil 3"))</f>
        <v>Tertil 2</v>
      </c>
    </row>
    <row r="81" spans="2:26">
      <c r="B81">
        <v>80</v>
      </c>
      <c r="C81">
        <v>67</v>
      </c>
      <c r="D81" s="8">
        <v>4</v>
      </c>
      <c r="E81" s="8" t="s">
        <v>25</v>
      </c>
      <c r="F81" s="5">
        <f t="shared" si="8"/>
        <v>2</v>
      </c>
      <c r="G81">
        <v>79</v>
      </c>
      <c r="H81">
        <v>149</v>
      </c>
      <c r="I81" s="6">
        <f t="shared" si="9"/>
        <v>35.5839827034818</v>
      </c>
      <c r="J81" s="6" t="s">
        <v>29</v>
      </c>
      <c r="K81">
        <v>3</v>
      </c>
      <c r="L81" t="s">
        <v>32</v>
      </c>
      <c r="M81" t="s">
        <v>0</v>
      </c>
      <c r="N81">
        <v>31</v>
      </c>
      <c r="O81" t="str">
        <f>IF(N81&gt;18,"Normal","Abnormal")</f>
        <v>Normal</v>
      </c>
      <c r="P81">
        <v>1</v>
      </c>
      <c r="Q81" s="13">
        <v>1</v>
      </c>
      <c r="R81" t="str">
        <f t="shared" si="10"/>
        <v>Normal</v>
      </c>
      <c r="S81">
        <v>1</v>
      </c>
      <c r="T81" s="12">
        <v>5.9</v>
      </c>
      <c r="U81" t="str">
        <f>IF(T81&gt;5.7,"Normal","Abnormal")</f>
        <v>Normal</v>
      </c>
      <c r="V81">
        <v>1</v>
      </c>
      <c r="W81" t="s">
        <v>27</v>
      </c>
      <c r="X81">
        <v>1</v>
      </c>
      <c r="Y81">
        <v>2.72</v>
      </c>
      <c r="Z81" t="str">
        <f>IF(Data!Y81&lt;2.1,"Tertil 1",IF(Data!Y81&lt;=2.6,"Tertil 2","Tertil 3"))</f>
        <v>Tertil 3</v>
      </c>
    </row>
    <row r="82" spans="2:26">
      <c r="B82">
        <v>81</v>
      </c>
      <c r="C82">
        <v>73</v>
      </c>
      <c r="D82" s="8">
        <v>4</v>
      </c>
      <c r="E82" s="8" t="s">
        <v>28</v>
      </c>
      <c r="F82" s="5">
        <f t="shared" si="8"/>
        <v>1</v>
      </c>
      <c r="G82">
        <v>51</v>
      </c>
      <c r="H82">
        <v>148</v>
      </c>
      <c r="I82" s="6">
        <f t="shared" si="9"/>
        <v>23.2834185536888</v>
      </c>
      <c r="J82" s="6" t="s">
        <v>34</v>
      </c>
      <c r="K82">
        <v>1</v>
      </c>
      <c r="L82" t="s">
        <v>32</v>
      </c>
      <c r="M82" t="s">
        <v>0</v>
      </c>
      <c r="N82">
        <v>20</v>
      </c>
      <c r="O82" t="str">
        <f>IF(N82&gt;28,"Normal","Abnormal")</f>
        <v>Abnormal</v>
      </c>
      <c r="P82">
        <v>2</v>
      </c>
      <c r="Q82" s="13">
        <v>1.2</v>
      </c>
      <c r="R82" t="str">
        <f t="shared" si="10"/>
        <v>Normal</v>
      </c>
      <c r="S82">
        <v>1</v>
      </c>
      <c r="T82" s="12">
        <v>6</v>
      </c>
      <c r="U82" t="str">
        <f>IF(T82&gt;7,"Normal","Abnormal")</f>
        <v>Abnormal</v>
      </c>
      <c r="V82">
        <v>2</v>
      </c>
      <c r="W82" t="s">
        <v>22</v>
      </c>
      <c r="X82">
        <v>3</v>
      </c>
      <c r="Y82">
        <v>2.71</v>
      </c>
      <c r="Z82" t="str">
        <f>IF(Data!Y82&lt;2.1,"Tertil 1",IF(Data!Y82&lt;=2.6,"Tertil 2","Tertil 3"))</f>
        <v>Tertil 3</v>
      </c>
    </row>
    <row r="83" spans="2:26">
      <c r="B83">
        <v>82</v>
      </c>
      <c r="C83">
        <v>59</v>
      </c>
      <c r="D83">
        <v>3</v>
      </c>
      <c r="E83" s="8" t="s">
        <v>28</v>
      </c>
      <c r="F83" s="5">
        <f t="shared" si="8"/>
        <v>1</v>
      </c>
      <c r="G83">
        <v>93</v>
      </c>
      <c r="H83">
        <v>167</v>
      </c>
      <c r="I83" s="6">
        <f t="shared" si="9"/>
        <v>33.346480691312</v>
      </c>
      <c r="J83" s="6" t="s">
        <v>29</v>
      </c>
      <c r="K83">
        <v>3</v>
      </c>
      <c r="L83" t="s">
        <v>32</v>
      </c>
      <c r="M83" t="s">
        <v>0</v>
      </c>
      <c r="N83">
        <v>30</v>
      </c>
      <c r="O83" t="str">
        <f>IF(N83&gt;28,"Normal","Abnormal")</f>
        <v>Normal</v>
      </c>
      <c r="P83">
        <v>1</v>
      </c>
      <c r="Q83" s="13">
        <v>1.27</v>
      </c>
      <c r="R83" t="str">
        <f t="shared" si="10"/>
        <v>Normal</v>
      </c>
      <c r="S83">
        <v>1</v>
      </c>
      <c r="T83" s="12">
        <v>5.5</v>
      </c>
      <c r="U83" t="str">
        <f>IF(T83&gt;7,"Normal","Abnormal")</f>
        <v>Abnormal</v>
      </c>
      <c r="V83">
        <v>2</v>
      </c>
      <c r="W83" t="s">
        <v>31</v>
      </c>
      <c r="X83">
        <v>2</v>
      </c>
      <c r="Y83">
        <v>3.96</v>
      </c>
      <c r="Z83" t="str">
        <f>IF(Data!Y83&lt;2.1,"Tertil 1",IF(Data!Y83&lt;=2.6,"Tertil 2","Tertil 3"))</f>
        <v>Tertil 3</v>
      </c>
    </row>
    <row r="84" spans="2:26">
      <c r="B84">
        <v>83</v>
      </c>
      <c r="C84">
        <v>57</v>
      </c>
      <c r="D84">
        <v>3</v>
      </c>
      <c r="E84" s="8" t="s">
        <v>25</v>
      </c>
      <c r="F84" s="5">
        <f t="shared" si="8"/>
        <v>2</v>
      </c>
      <c r="G84">
        <v>57</v>
      </c>
      <c r="H84">
        <v>147</v>
      </c>
      <c r="I84" s="6">
        <f t="shared" si="9"/>
        <v>26.3778980980147</v>
      </c>
      <c r="J84" s="6" t="s">
        <v>26</v>
      </c>
      <c r="K84">
        <v>2</v>
      </c>
      <c r="L84" t="s">
        <v>0</v>
      </c>
      <c r="M84" t="s">
        <v>0</v>
      </c>
      <c r="N84">
        <v>11</v>
      </c>
      <c r="O84" t="str">
        <f>IF(N84&gt;18,"Normal","Abnormal")</f>
        <v>Abnormal</v>
      </c>
      <c r="P84">
        <v>2</v>
      </c>
      <c r="Q84" s="13">
        <v>0.8</v>
      </c>
      <c r="R84" t="str">
        <f t="shared" si="10"/>
        <v>Abnormal</v>
      </c>
      <c r="S84">
        <v>2</v>
      </c>
      <c r="T84" s="12">
        <v>4</v>
      </c>
      <c r="U84" t="str">
        <f>IF(T84&gt;5.7,"Normal","Abnormal")</f>
        <v>Abnormal</v>
      </c>
      <c r="V84">
        <v>2</v>
      </c>
      <c r="W84" t="s">
        <v>33</v>
      </c>
      <c r="X84">
        <v>4</v>
      </c>
      <c r="Y84">
        <v>3.36</v>
      </c>
      <c r="Z84" t="str">
        <f>IF(Data!Y84&lt;2.1,"Tertil 1",IF(Data!Y84&lt;=2.6,"Tertil 2","Tertil 3"))</f>
        <v>Tertil 3</v>
      </c>
    </row>
    <row r="85" spans="2:26">
      <c r="B85">
        <v>84</v>
      </c>
      <c r="C85">
        <v>61</v>
      </c>
      <c r="D85" s="8">
        <v>4</v>
      </c>
      <c r="E85" s="8" t="s">
        <v>25</v>
      </c>
      <c r="F85" s="5">
        <f t="shared" si="8"/>
        <v>2</v>
      </c>
      <c r="G85">
        <v>60</v>
      </c>
      <c r="H85">
        <v>150</v>
      </c>
      <c r="I85" s="6">
        <f t="shared" si="9"/>
        <v>26.6666666666667</v>
      </c>
      <c r="J85" s="6" t="s">
        <v>26</v>
      </c>
      <c r="K85">
        <v>2</v>
      </c>
      <c r="L85" t="s">
        <v>0</v>
      </c>
      <c r="M85" t="s">
        <v>0</v>
      </c>
      <c r="N85">
        <v>22</v>
      </c>
      <c r="O85" t="str">
        <f>IF(N85&gt;18,"Normal","Abnormal")</f>
        <v>Normal</v>
      </c>
      <c r="P85">
        <v>1</v>
      </c>
      <c r="Q85" s="13">
        <v>0.7</v>
      </c>
      <c r="R85" t="str">
        <f t="shared" si="10"/>
        <v>Abnormal</v>
      </c>
      <c r="S85">
        <v>2</v>
      </c>
      <c r="T85" s="12">
        <v>5.4</v>
      </c>
      <c r="U85" t="str">
        <f>IF(T85&gt;5.7,"Normal","Abnormal")</f>
        <v>Abnormal</v>
      </c>
      <c r="V85">
        <v>2</v>
      </c>
      <c r="W85" t="s">
        <v>22</v>
      </c>
      <c r="X85">
        <v>3</v>
      </c>
      <c r="Y85">
        <v>2.07</v>
      </c>
      <c r="Z85" t="str">
        <f>IF(Data!Y85&lt;2.1,"Tertil 1",IF(Data!Y85&lt;=2.6,"Tertil 2","Tertil 3"))</f>
        <v>Tertil 1</v>
      </c>
    </row>
    <row r="86" spans="2:26">
      <c r="B86">
        <v>85</v>
      </c>
      <c r="C86">
        <v>69</v>
      </c>
      <c r="D86" s="8">
        <v>4</v>
      </c>
      <c r="E86" s="8" t="s">
        <v>25</v>
      </c>
      <c r="F86" s="5">
        <f t="shared" si="8"/>
        <v>2</v>
      </c>
      <c r="G86">
        <v>85</v>
      </c>
      <c r="H86">
        <v>155</v>
      </c>
      <c r="I86" s="6">
        <f t="shared" si="9"/>
        <v>35.3798126951093</v>
      </c>
      <c r="J86" s="6" t="s">
        <v>29</v>
      </c>
      <c r="K86">
        <v>3</v>
      </c>
      <c r="L86" t="s">
        <v>0</v>
      </c>
      <c r="M86" t="s">
        <v>0</v>
      </c>
      <c r="N86">
        <v>18</v>
      </c>
      <c r="O86" t="str">
        <f>IF(N86&gt;18,"Normal","Abnormal")</f>
        <v>Abnormal</v>
      </c>
      <c r="P86">
        <v>2</v>
      </c>
      <c r="Q86" s="13">
        <v>1.2</v>
      </c>
      <c r="R86" t="str">
        <f t="shared" si="10"/>
        <v>Normal</v>
      </c>
      <c r="S86">
        <v>1</v>
      </c>
      <c r="T86" s="12">
        <v>4.3</v>
      </c>
      <c r="U86" t="str">
        <f>IF(T86&gt;5.7,"Normal","Abnormal")</f>
        <v>Abnormal</v>
      </c>
      <c r="V86">
        <v>2</v>
      </c>
      <c r="W86" t="s">
        <v>22</v>
      </c>
      <c r="X86">
        <v>3</v>
      </c>
      <c r="Y86">
        <v>3.62</v>
      </c>
      <c r="Z86" t="str">
        <f>IF(Data!Y86&lt;2.1,"Tertil 1",IF(Data!Y86&lt;=2.6,"Tertil 2","Tertil 3"))</f>
        <v>Tertil 3</v>
      </c>
    </row>
    <row r="87" spans="2:26">
      <c r="B87">
        <v>86</v>
      </c>
      <c r="C87">
        <v>62</v>
      </c>
      <c r="D87" s="8">
        <v>4</v>
      </c>
      <c r="E87" s="8" t="s">
        <v>25</v>
      </c>
      <c r="F87" s="5">
        <f t="shared" si="8"/>
        <v>2</v>
      </c>
      <c r="G87">
        <v>63</v>
      </c>
      <c r="H87">
        <v>155</v>
      </c>
      <c r="I87" s="6">
        <f t="shared" si="9"/>
        <v>26.2226847034339</v>
      </c>
      <c r="J87" s="6" t="s">
        <v>26</v>
      </c>
      <c r="K87">
        <v>2</v>
      </c>
      <c r="L87" t="s">
        <v>32</v>
      </c>
      <c r="M87" t="s">
        <v>0</v>
      </c>
      <c r="N87">
        <v>10</v>
      </c>
      <c r="O87" t="str">
        <f>IF(N87&gt;18,"Normal","Abnormal")</f>
        <v>Abnormal</v>
      </c>
      <c r="P87">
        <v>2</v>
      </c>
      <c r="Q87" s="13">
        <v>1</v>
      </c>
      <c r="R87" t="str">
        <f t="shared" si="10"/>
        <v>Normal</v>
      </c>
      <c r="S87">
        <v>1</v>
      </c>
      <c r="T87" s="12">
        <v>5</v>
      </c>
      <c r="U87" t="str">
        <f>IF(T87&gt;5.7,"Normal","Abnormal")</f>
        <v>Abnormal</v>
      </c>
      <c r="V87">
        <v>2</v>
      </c>
      <c r="W87" t="s">
        <v>22</v>
      </c>
      <c r="X87">
        <v>3</v>
      </c>
      <c r="Y87">
        <v>2.6</v>
      </c>
      <c r="Z87" t="str">
        <f>IF(Data!Y87&lt;2.1,"Tertil 1",IF(Data!Y87&lt;=2.6,"Tertil 2","Tertil 3"))</f>
        <v>Tertil 2</v>
      </c>
    </row>
    <row r="88" spans="2:26">
      <c r="B88">
        <v>87</v>
      </c>
      <c r="C88">
        <v>68</v>
      </c>
      <c r="D88" s="8">
        <v>4</v>
      </c>
      <c r="E88" s="8" t="s">
        <v>28</v>
      </c>
      <c r="F88" s="5">
        <f t="shared" si="8"/>
        <v>1</v>
      </c>
      <c r="G88">
        <v>55</v>
      </c>
      <c r="H88">
        <v>150</v>
      </c>
      <c r="I88" s="6">
        <f t="shared" si="9"/>
        <v>24.4444444444444</v>
      </c>
      <c r="J88" s="6" t="s">
        <v>26</v>
      </c>
      <c r="K88">
        <v>2</v>
      </c>
      <c r="L88" t="s">
        <v>32</v>
      </c>
      <c r="M88" t="s">
        <v>0</v>
      </c>
      <c r="N88">
        <v>22</v>
      </c>
      <c r="O88" t="str">
        <f>IF(N88&gt;28,"Normal","Abnormal")</f>
        <v>Abnormal</v>
      </c>
      <c r="P88">
        <v>2</v>
      </c>
      <c r="Q88" s="13">
        <v>1.2</v>
      </c>
      <c r="R88" t="str">
        <f t="shared" si="10"/>
        <v>Normal</v>
      </c>
      <c r="S88">
        <v>1</v>
      </c>
      <c r="T88" s="12">
        <v>6.7</v>
      </c>
      <c r="U88" t="str">
        <f>IF(T88&gt;7,"Normal","Abnormal")</f>
        <v>Abnormal</v>
      </c>
      <c r="V88">
        <v>2</v>
      </c>
      <c r="W88" t="s">
        <v>22</v>
      </c>
      <c r="X88">
        <v>3</v>
      </c>
      <c r="Y88">
        <v>2.04</v>
      </c>
      <c r="Z88" t="str">
        <f>IF(Data!Y88&lt;2.1,"Tertil 1",IF(Data!Y88&lt;=2.6,"Tertil 2","Tertil 3"))</f>
        <v>Tertil 1</v>
      </c>
    </row>
    <row r="89" spans="2:26">
      <c r="B89">
        <v>88</v>
      </c>
      <c r="C89">
        <v>61</v>
      </c>
      <c r="D89" s="8">
        <v>4</v>
      </c>
      <c r="E89" s="8" t="s">
        <v>25</v>
      </c>
      <c r="F89" s="5">
        <f t="shared" si="8"/>
        <v>2</v>
      </c>
      <c r="G89">
        <v>55</v>
      </c>
      <c r="H89">
        <v>147</v>
      </c>
      <c r="I89" s="6">
        <f t="shared" si="9"/>
        <v>25.4523578138738</v>
      </c>
      <c r="J89" s="6" t="s">
        <v>26</v>
      </c>
      <c r="K89">
        <v>2</v>
      </c>
      <c r="L89" t="s">
        <v>0</v>
      </c>
      <c r="M89" t="s">
        <v>32</v>
      </c>
      <c r="N89">
        <v>19</v>
      </c>
      <c r="O89" t="str">
        <f>IF(N89&gt;18,"Normal","Abnormal")</f>
        <v>Normal</v>
      </c>
      <c r="P89">
        <v>1</v>
      </c>
      <c r="Q89" s="13">
        <v>1</v>
      </c>
      <c r="R89" t="str">
        <f t="shared" si="10"/>
        <v>Normal</v>
      </c>
      <c r="S89">
        <v>1</v>
      </c>
      <c r="T89" s="12">
        <v>6</v>
      </c>
      <c r="U89" t="str">
        <f>IF(T89&gt;5.7,"Normal","Abnormal")</f>
        <v>Normal</v>
      </c>
      <c r="V89">
        <v>1</v>
      </c>
      <c r="W89" t="s">
        <v>27</v>
      </c>
      <c r="X89">
        <v>1</v>
      </c>
      <c r="Y89">
        <v>2.4</v>
      </c>
      <c r="Z89" t="str">
        <f>IF(Data!Y89&lt;2.1,"Tertil 1",IF(Data!Y89&lt;=2.6,"Tertil 2","Tertil 3"))</f>
        <v>Tertil 2</v>
      </c>
    </row>
    <row r="90" spans="2:26">
      <c r="B90">
        <v>89</v>
      </c>
      <c r="C90">
        <v>59</v>
      </c>
      <c r="D90">
        <v>3</v>
      </c>
      <c r="E90" s="8" t="s">
        <v>28</v>
      </c>
      <c r="F90" s="5">
        <f t="shared" si="8"/>
        <v>1</v>
      </c>
      <c r="G90">
        <v>64</v>
      </c>
      <c r="H90">
        <v>150</v>
      </c>
      <c r="I90" s="6">
        <f t="shared" si="9"/>
        <v>28.4444444444444</v>
      </c>
      <c r="J90" s="6" t="s">
        <v>26</v>
      </c>
      <c r="K90">
        <v>2</v>
      </c>
      <c r="L90" t="s">
        <v>32</v>
      </c>
      <c r="M90" t="s">
        <v>0</v>
      </c>
      <c r="N90">
        <v>22</v>
      </c>
      <c r="O90" t="str">
        <f>IF(N90&gt;28,"Normal","Abnormal")</f>
        <v>Abnormal</v>
      </c>
      <c r="P90">
        <v>2</v>
      </c>
      <c r="Q90" s="13">
        <v>0.9</v>
      </c>
      <c r="R90" t="str">
        <f t="shared" si="10"/>
        <v>Abnormal</v>
      </c>
      <c r="S90">
        <v>2</v>
      </c>
      <c r="T90" s="12">
        <v>6.1</v>
      </c>
      <c r="U90" t="str">
        <f>IF(T90&gt;7,"Normal","Abnormal")</f>
        <v>Abnormal</v>
      </c>
      <c r="V90">
        <v>2</v>
      </c>
      <c r="W90" t="s">
        <v>33</v>
      </c>
      <c r="X90">
        <v>4</v>
      </c>
      <c r="Y90">
        <v>2.39</v>
      </c>
      <c r="Z90" t="str">
        <f>IF(Data!Y90&lt;2.1,"Tertil 1",IF(Data!Y90&lt;=2.6,"Tertil 2","Tertil 3"))</f>
        <v>Tertil 2</v>
      </c>
    </row>
    <row r="91" spans="2:26">
      <c r="B91">
        <v>90</v>
      </c>
      <c r="C91">
        <v>57</v>
      </c>
      <c r="D91">
        <v>3</v>
      </c>
      <c r="E91" s="8" t="s">
        <v>28</v>
      </c>
      <c r="F91" s="5">
        <f t="shared" si="8"/>
        <v>1</v>
      </c>
      <c r="G91">
        <v>65</v>
      </c>
      <c r="H91">
        <v>155</v>
      </c>
      <c r="I91" s="6">
        <f t="shared" si="9"/>
        <v>27.0551508844953</v>
      </c>
      <c r="J91" s="6" t="s">
        <v>26</v>
      </c>
      <c r="K91">
        <v>2</v>
      </c>
      <c r="L91" t="s">
        <v>0</v>
      </c>
      <c r="M91" t="s">
        <v>0</v>
      </c>
      <c r="N91">
        <v>20</v>
      </c>
      <c r="O91" t="str">
        <f>IF(N91&gt;28,"Normal","Abnormal")</f>
        <v>Abnormal</v>
      </c>
      <c r="P91">
        <v>2</v>
      </c>
      <c r="Q91" s="13">
        <v>1</v>
      </c>
      <c r="R91" t="str">
        <f t="shared" si="10"/>
        <v>Normal</v>
      </c>
      <c r="S91">
        <v>1</v>
      </c>
      <c r="T91" s="12">
        <v>5.9</v>
      </c>
      <c r="U91" t="str">
        <f>IF(T91&gt;7,"Normal","Abnormal")</f>
        <v>Abnormal</v>
      </c>
      <c r="V91">
        <v>2</v>
      </c>
      <c r="W91" t="s">
        <v>22</v>
      </c>
      <c r="X91">
        <v>3</v>
      </c>
      <c r="Y91">
        <v>2.3</v>
      </c>
      <c r="Z91" t="str">
        <f>IF(Data!Y91&lt;2.1,"Tertil 1",IF(Data!Y91&lt;=2.6,"Tertil 2","Tertil 3"))</f>
        <v>Tertil 2</v>
      </c>
    </row>
    <row r="92" spans="2:26">
      <c r="B92">
        <v>91</v>
      </c>
      <c r="C92">
        <v>59</v>
      </c>
      <c r="D92">
        <v>3</v>
      </c>
      <c r="E92" s="8" t="s">
        <v>25</v>
      </c>
      <c r="F92" s="5">
        <f t="shared" si="8"/>
        <v>2</v>
      </c>
      <c r="G92">
        <v>60</v>
      </c>
      <c r="H92">
        <v>150</v>
      </c>
      <c r="I92" s="6">
        <f t="shared" si="9"/>
        <v>26.6666666666667</v>
      </c>
      <c r="J92" s="6" t="s">
        <v>26</v>
      </c>
      <c r="K92">
        <v>2</v>
      </c>
      <c r="L92" t="s">
        <v>0</v>
      </c>
      <c r="M92" t="s">
        <v>0</v>
      </c>
      <c r="N92">
        <v>20</v>
      </c>
      <c r="O92" t="str">
        <f>IF(N92&gt;18,"Normal","Abnormal")</f>
        <v>Normal</v>
      </c>
      <c r="P92">
        <v>1</v>
      </c>
      <c r="Q92" s="13">
        <v>0.8</v>
      </c>
      <c r="R92" t="str">
        <f t="shared" si="10"/>
        <v>Abnormal</v>
      </c>
      <c r="S92">
        <v>2</v>
      </c>
      <c r="T92" s="12">
        <v>4.9</v>
      </c>
      <c r="U92" t="str">
        <f>IF(T92&gt;5.7,"Normal","Abnormal")</f>
        <v>Abnormal</v>
      </c>
      <c r="V92">
        <v>2</v>
      </c>
      <c r="W92" t="s">
        <v>22</v>
      </c>
      <c r="X92">
        <v>3</v>
      </c>
      <c r="Y92">
        <v>3</v>
      </c>
      <c r="Z92" t="str">
        <f>IF(Data!Y92&lt;2.1,"Tertil 1",IF(Data!Y92&lt;=2.6,"Tertil 2","Tertil 3"))</f>
        <v>Tertil 3</v>
      </c>
    </row>
    <row r="93" spans="2:26">
      <c r="B93">
        <v>92</v>
      </c>
      <c r="C93">
        <v>68</v>
      </c>
      <c r="D93" s="8">
        <v>4</v>
      </c>
      <c r="E93" s="8" t="s">
        <v>28</v>
      </c>
      <c r="F93" s="5">
        <f t="shared" si="8"/>
        <v>1</v>
      </c>
      <c r="G93">
        <v>82</v>
      </c>
      <c r="H93">
        <v>170</v>
      </c>
      <c r="I93" s="6">
        <f t="shared" si="9"/>
        <v>28.3737024221453</v>
      </c>
      <c r="J93" s="6" t="s">
        <v>26</v>
      </c>
      <c r="K93">
        <v>2</v>
      </c>
      <c r="L93" t="s">
        <v>0</v>
      </c>
      <c r="M93" t="s">
        <v>32</v>
      </c>
      <c r="N93">
        <v>29</v>
      </c>
      <c r="O93" t="str">
        <f>IF(N93&gt;28,"Normal","Abnormal")</f>
        <v>Normal</v>
      </c>
      <c r="P93">
        <v>1</v>
      </c>
      <c r="Q93" s="13">
        <v>1</v>
      </c>
      <c r="R93" t="str">
        <f t="shared" si="10"/>
        <v>Normal</v>
      </c>
      <c r="S93">
        <v>1</v>
      </c>
      <c r="T93" s="12">
        <v>6</v>
      </c>
      <c r="U93" t="str">
        <f>IF(T93&gt;7,"Normal","Abnormal")</f>
        <v>Abnormal</v>
      </c>
      <c r="V93">
        <v>2</v>
      </c>
      <c r="W93" t="s">
        <v>31</v>
      </c>
      <c r="X93">
        <v>2</v>
      </c>
      <c r="Y93">
        <v>2.61</v>
      </c>
      <c r="Z93" t="str">
        <f>IF(Data!Y93&lt;2.1,"Tertil 1",IF(Data!Y93&lt;=2.6,"Tertil 2","Tertil 3"))</f>
        <v>Tertil 3</v>
      </c>
    </row>
    <row r="94" spans="2:26">
      <c r="B94">
        <v>93</v>
      </c>
      <c r="C94">
        <v>69</v>
      </c>
      <c r="D94" s="8">
        <v>4</v>
      </c>
      <c r="E94" s="8" t="s">
        <v>25</v>
      </c>
      <c r="F94" s="5">
        <f t="shared" si="8"/>
        <v>2</v>
      </c>
      <c r="G94">
        <v>60</v>
      </c>
      <c r="H94">
        <v>150</v>
      </c>
      <c r="I94" s="6">
        <f t="shared" si="9"/>
        <v>26.6666666666667</v>
      </c>
      <c r="J94" s="6" t="s">
        <v>26</v>
      </c>
      <c r="K94">
        <v>2</v>
      </c>
      <c r="L94" t="s">
        <v>0</v>
      </c>
      <c r="M94" t="s">
        <v>0</v>
      </c>
      <c r="N94">
        <v>10</v>
      </c>
      <c r="O94" t="str">
        <f>IF(N94&gt;18,"Normal","Abnormal")</f>
        <v>Abnormal</v>
      </c>
      <c r="P94">
        <v>2</v>
      </c>
      <c r="Q94" s="13">
        <v>0.6</v>
      </c>
      <c r="R94" t="str">
        <f t="shared" si="10"/>
        <v>Abnormal</v>
      </c>
      <c r="S94">
        <v>2</v>
      </c>
      <c r="T94" s="12">
        <v>5</v>
      </c>
      <c r="U94" t="str">
        <f>IF(T94&gt;5.7,"Normal","Abnormal")</f>
        <v>Abnormal</v>
      </c>
      <c r="V94">
        <v>2</v>
      </c>
      <c r="W94" t="s">
        <v>33</v>
      </c>
      <c r="X94">
        <v>4</v>
      </c>
      <c r="Y94">
        <v>2.36</v>
      </c>
      <c r="Z94" t="str">
        <f>IF(Data!Y94&lt;2.1,"Tertil 1",IF(Data!Y94&lt;=2.6,"Tertil 2","Tertil 3"))</f>
        <v>Tertil 2</v>
      </c>
    </row>
    <row r="95" spans="2:26">
      <c r="B95">
        <v>94</v>
      </c>
      <c r="C95">
        <v>66</v>
      </c>
      <c r="D95" s="8">
        <v>4</v>
      </c>
      <c r="E95" s="8" t="s">
        <v>25</v>
      </c>
      <c r="F95" s="5">
        <f t="shared" si="8"/>
        <v>2</v>
      </c>
      <c r="G95">
        <v>56</v>
      </c>
      <c r="H95">
        <v>145</v>
      </c>
      <c r="I95" s="6">
        <f t="shared" si="9"/>
        <v>26.6349583828775</v>
      </c>
      <c r="J95" s="6" t="s">
        <v>26</v>
      </c>
      <c r="K95">
        <v>2</v>
      </c>
      <c r="L95" t="s">
        <v>0</v>
      </c>
      <c r="M95" t="s">
        <v>32</v>
      </c>
      <c r="N95">
        <v>20</v>
      </c>
      <c r="O95" t="str">
        <f>IF(N95&gt;18,"Normal","Abnormal")</f>
        <v>Normal</v>
      </c>
      <c r="P95">
        <v>1</v>
      </c>
      <c r="Q95" s="13">
        <v>1</v>
      </c>
      <c r="R95" t="str">
        <f t="shared" si="10"/>
        <v>Normal</v>
      </c>
      <c r="S95">
        <v>1</v>
      </c>
      <c r="T95" s="12">
        <v>4.1</v>
      </c>
      <c r="U95" t="str">
        <f>IF(T95&gt;5.7,"Normal","Abnormal")</f>
        <v>Abnormal</v>
      </c>
      <c r="V95">
        <v>2</v>
      </c>
      <c r="W95" t="s">
        <v>31</v>
      </c>
      <c r="X95">
        <v>2</v>
      </c>
      <c r="Y95">
        <v>3.67</v>
      </c>
      <c r="Z95" t="str">
        <f>IF(Data!Y95&lt;2.1,"Tertil 1",IF(Data!Y95&lt;=2.6,"Tertil 2","Tertil 3"))</f>
        <v>Tertil 3</v>
      </c>
    </row>
    <row r="96" spans="2:26">
      <c r="B96">
        <v>95</v>
      </c>
      <c r="C96">
        <v>69</v>
      </c>
      <c r="D96" s="8">
        <v>4</v>
      </c>
      <c r="E96" s="8" t="s">
        <v>25</v>
      </c>
      <c r="F96" s="5">
        <f t="shared" si="8"/>
        <v>2</v>
      </c>
      <c r="G96">
        <v>60</v>
      </c>
      <c r="H96">
        <v>145</v>
      </c>
      <c r="I96" s="6">
        <f t="shared" si="9"/>
        <v>28.5374554102259</v>
      </c>
      <c r="J96" s="6" t="s">
        <v>26</v>
      </c>
      <c r="K96">
        <v>2</v>
      </c>
      <c r="L96" t="s">
        <v>32</v>
      </c>
      <c r="M96" t="s">
        <v>0</v>
      </c>
      <c r="N96">
        <v>21</v>
      </c>
      <c r="O96" t="str">
        <f>IF(N96&gt;18,"Normal","Abnormal")</f>
        <v>Normal</v>
      </c>
      <c r="P96">
        <v>1</v>
      </c>
      <c r="Q96" s="13">
        <v>1</v>
      </c>
      <c r="R96" t="str">
        <f t="shared" si="10"/>
        <v>Normal</v>
      </c>
      <c r="S96">
        <v>1</v>
      </c>
      <c r="T96" s="12">
        <v>5.2</v>
      </c>
      <c r="U96" t="str">
        <f>IF(T96&gt;5.7,"Normal","Abnormal")</f>
        <v>Abnormal</v>
      </c>
      <c r="V96">
        <v>2</v>
      </c>
      <c r="W96" t="s">
        <v>31</v>
      </c>
      <c r="X96">
        <v>2</v>
      </c>
      <c r="Y96">
        <v>2.13</v>
      </c>
      <c r="Z96" t="str">
        <f>IF(Data!Y96&lt;2.1,"Tertil 1",IF(Data!Y96&lt;=2.6,"Tertil 2","Tertil 3"))</f>
        <v>Tertil 2</v>
      </c>
    </row>
    <row r="97" spans="2:26">
      <c r="B97">
        <v>96</v>
      </c>
      <c r="C97">
        <v>65</v>
      </c>
      <c r="D97" s="8">
        <v>4</v>
      </c>
      <c r="E97" s="8" t="s">
        <v>28</v>
      </c>
      <c r="F97" s="5">
        <f t="shared" si="8"/>
        <v>1</v>
      </c>
      <c r="G97">
        <v>65</v>
      </c>
      <c r="H97">
        <v>155</v>
      </c>
      <c r="I97" s="6">
        <f t="shared" si="9"/>
        <v>27.0551508844953</v>
      </c>
      <c r="J97" s="6" t="s">
        <v>26</v>
      </c>
      <c r="K97">
        <v>2</v>
      </c>
      <c r="L97" t="s">
        <v>0</v>
      </c>
      <c r="M97" t="s">
        <v>0</v>
      </c>
      <c r="N97">
        <v>20</v>
      </c>
      <c r="O97" t="str">
        <f>IF(N97&gt;28,"Normal","Abnormal")</f>
        <v>Abnormal</v>
      </c>
      <c r="P97">
        <v>2</v>
      </c>
      <c r="Q97" s="13">
        <v>1.3</v>
      </c>
      <c r="R97" t="str">
        <f t="shared" si="10"/>
        <v>Normal</v>
      </c>
      <c r="S97">
        <v>1</v>
      </c>
      <c r="T97" s="12">
        <v>5.7</v>
      </c>
      <c r="U97" t="str">
        <f>IF(T97&gt;7,"Normal","Abnormal")</f>
        <v>Abnormal</v>
      </c>
      <c r="V97">
        <v>2</v>
      </c>
      <c r="W97" t="s">
        <v>22</v>
      </c>
      <c r="X97">
        <v>3</v>
      </c>
      <c r="Y97">
        <v>3.92</v>
      </c>
      <c r="Z97" t="str">
        <f>IF(Data!Y97&lt;2.1,"Tertil 1",IF(Data!Y97&lt;=2.6,"Tertil 2","Tertil 3"))</f>
        <v>Tertil 3</v>
      </c>
    </row>
    <row r="98" spans="2:26">
      <c r="B98">
        <v>97</v>
      </c>
      <c r="C98">
        <v>62</v>
      </c>
      <c r="D98" s="8">
        <v>4</v>
      </c>
      <c r="E98" s="8" t="s">
        <v>25</v>
      </c>
      <c r="F98" s="5">
        <f t="shared" ref="F98:F101" si="11">IF(E98="Male",1,2)</f>
        <v>2</v>
      </c>
      <c r="G98">
        <v>60</v>
      </c>
      <c r="H98">
        <v>150</v>
      </c>
      <c r="I98" s="6">
        <f t="shared" si="9"/>
        <v>26.6666666666667</v>
      </c>
      <c r="J98" s="6" t="s">
        <v>34</v>
      </c>
      <c r="K98">
        <v>1</v>
      </c>
      <c r="L98" t="s">
        <v>0</v>
      </c>
      <c r="M98" t="s">
        <v>32</v>
      </c>
      <c r="N98">
        <v>12</v>
      </c>
      <c r="O98" t="str">
        <f>IF(N98&gt;18,"Normal","Abnormal")</f>
        <v>Abnormal</v>
      </c>
      <c r="P98">
        <v>2</v>
      </c>
      <c r="Q98" s="13">
        <v>1</v>
      </c>
      <c r="R98" t="str">
        <f t="shared" si="10"/>
        <v>Normal</v>
      </c>
      <c r="S98">
        <v>1</v>
      </c>
      <c r="T98" s="12">
        <v>3.8</v>
      </c>
      <c r="U98" t="str">
        <f>IF(T98&gt;5.7,"Normal","Abnormal")</f>
        <v>Abnormal</v>
      </c>
      <c r="V98">
        <v>2</v>
      </c>
      <c r="W98" t="s">
        <v>22</v>
      </c>
      <c r="X98">
        <v>3</v>
      </c>
      <c r="Y98">
        <v>5.7</v>
      </c>
      <c r="Z98" t="str">
        <f>IF(Data!Y98&lt;2.1,"Tertil 1",IF(Data!Y98&lt;=2.6,"Tertil 2","Tertil 3"))</f>
        <v>Tertil 3</v>
      </c>
    </row>
    <row r="99" spans="2:26">
      <c r="B99">
        <v>98</v>
      </c>
      <c r="C99">
        <v>70</v>
      </c>
      <c r="D99" s="8">
        <v>4</v>
      </c>
      <c r="E99" s="8" t="s">
        <v>25</v>
      </c>
      <c r="F99" s="5">
        <f t="shared" si="11"/>
        <v>2</v>
      </c>
      <c r="G99">
        <v>80</v>
      </c>
      <c r="H99">
        <v>155</v>
      </c>
      <c r="I99" s="6">
        <f t="shared" si="9"/>
        <v>33.2986472424558</v>
      </c>
      <c r="J99" s="6" t="s">
        <v>29</v>
      </c>
      <c r="K99">
        <v>3</v>
      </c>
      <c r="L99" t="s">
        <v>32</v>
      </c>
      <c r="M99" t="s">
        <v>0</v>
      </c>
      <c r="N99">
        <v>18</v>
      </c>
      <c r="O99" t="str">
        <f>IF(N99&gt;18,"Normal","Abnormal")</f>
        <v>Abnormal</v>
      </c>
      <c r="P99">
        <v>2</v>
      </c>
      <c r="Q99" s="13">
        <v>1.2</v>
      </c>
      <c r="R99" t="str">
        <f t="shared" si="10"/>
        <v>Normal</v>
      </c>
      <c r="S99">
        <v>1</v>
      </c>
      <c r="T99" s="12">
        <v>4</v>
      </c>
      <c r="U99" t="str">
        <f>IF(T99&gt;5.7,"Normal","Abnormal")</f>
        <v>Abnormal</v>
      </c>
      <c r="V99">
        <v>2</v>
      </c>
      <c r="W99" t="s">
        <v>22</v>
      </c>
      <c r="X99">
        <v>3</v>
      </c>
      <c r="Y99">
        <v>4.06</v>
      </c>
      <c r="Z99" t="str">
        <f>IF(Data!Y99&lt;2.1,"Tertil 1",IF(Data!Y99&lt;=2.6,"Tertil 2","Tertil 3"))</f>
        <v>Tertil 3</v>
      </c>
    </row>
    <row r="100" spans="2:26">
      <c r="B100">
        <v>99</v>
      </c>
      <c r="C100">
        <v>56</v>
      </c>
      <c r="D100">
        <v>3</v>
      </c>
      <c r="E100" s="8" t="s">
        <v>28</v>
      </c>
      <c r="F100" s="5">
        <f t="shared" si="11"/>
        <v>1</v>
      </c>
      <c r="G100">
        <v>69</v>
      </c>
      <c r="H100">
        <v>155</v>
      </c>
      <c r="I100" s="6">
        <f t="shared" si="9"/>
        <v>28.7200832466181</v>
      </c>
      <c r="J100" s="6" t="s">
        <v>26</v>
      </c>
      <c r="K100">
        <v>2</v>
      </c>
      <c r="L100" t="s">
        <v>0</v>
      </c>
      <c r="M100" t="s">
        <v>32</v>
      </c>
      <c r="N100">
        <v>13</v>
      </c>
      <c r="O100" t="str">
        <f>IF(N100&gt;28,"Normal","Abnormal")</f>
        <v>Abnormal</v>
      </c>
      <c r="P100">
        <v>2</v>
      </c>
      <c r="Q100" s="13">
        <v>1.5</v>
      </c>
      <c r="R100" t="str">
        <f t="shared" si="10"/>
        <v>Normal</v>
      </c>
      <c r="S100">
        <v>1</v>
      </c>
      <c r="T100" s="12">
        <v>6</v>
      </c>
      <c r="U100" t="str">
        <f>IF(T100&gt;7,"Normal","Abnormal")</f>
        <v>Abnormal</v>
      </c>
      <c r="V100">
        <v>2</v>
      </c>
      <c r="W100" t="s">
        <v>22</v>
      </c>
      <c r="X100">
        <v>3</v>
      </c>
      <c r="Y100">
        <v>2.94</v>
      </c>
      <c r="Z100" t="str">
        <f>IF(Data!Y100&lt;2.1,"Tertil 1",IF(Data!Y100&lt;=2.6,"Tertil 2","Tertil 3"))</f>
        <v>Tertil 3</v>
      </c>
    </row>
    <row r="101" spans="2:26">
      <c r="B101">
        <v>100</v>
      </c>
      <c r="C101">
        <v>55</v>
      </c>
      <c r="D101">
        <v>3</v>
      </c>
      <c r="E101" s="8" t="s">
        <v>25</v>
      </c>
      <c r="F101" s="5">
        <f t="shared" si="11"/>
        <v>2</v>
      </c>
      <c r="G101">
        <v>58</v>
      </c>
      <c r="H101">
        <v>155</v>
      </c>
      <c r="I101" s="6">
        <f t="shared" si="9"/>
        <v>24.1415192507804</v>
      </c>
      <c r="J101" s="6" t="s">
        <v>34</v>
      </c>
      <c r="K101">
        <v>1</v>
      </c>
      <c r="L101" t="s">
        <v>0</v>
      </c>
      <c r="M101" t="s">
        <v>0</v>
      </c>
      <c r="N101">
        <v>16</v>
      </c>
      <c r="O101" t="str">
        <f>IF(N101&gt;18,"Normal","Abnormal")</f>
        <v>Abnormal</v>
      </c>
      <c r="P101">
        <v>2</v>
      </c>
      <c r="Q101" s="13">
        <v>1.1</v>
      </c>
      <c r="R101" t="str">
        <f t="shared" si="10"/>
        <v>Normal</v>
      </c>
      <c r="S101">
        <v>1</v>
      </c>
      <c r="T101" s="12">
        <v>5.37</v>
      </c>
      <c r="U101" t="str">
        <f>IF(T101&gt;5.7,"Normal","Abnormal")</f>
        <v>Abnormal</v>
      </c>
      <c r="V101">
        <v>2</v>
      </c>
      <c r="W101" t="s">
        <v>22</v>
      </c>
      <c r="X101">
        <v>3</v>
      </c>
      <c r="Y101">
        <v>2.1</v>
      </c>
      <c r="Z101" t="str">
        <f>IF(Data!Y101&lt;2.1,"Tertil 1",IF(Data!Y101&lt;=2.6,"Tertil 2","Tertil 3"))</f>
        <v>Tertil 2</v>
      </c>
    </row>
  </sheetData>
  <autoFilter xmlns:etc="http://www.wps.cn/officeDocument/2017/etCustomData" ref="B1:Z101" etc:filterBottomFollowUsedRange="0">
    <extLst/>
  </autoFilter>
  <sortState ref="B3:AA102">
    <sortCondition ref="B3:B10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1"/>
  <sheetViews>
    <sheetView workbookViewId="0">
      <selection activeCell="D20" sqref="D20"/>
    </sheetView>
  </sheetViews>
  <sheetFormatPr defaultColWidth="11" defaultRowHeight="15.5" outlineLevelCol="3"/>
  <cols>
    <col min="1" max="1" width="17.8333333333333" customWidth="1"/>
    <col min="2" max="2" width="22.25" customWidth="1"/>
  </cols>
  <sheetData>
    <row r="2" ht="47" customHeight="1" spans="1:4">
      <c r="A2" s="1" t="s">
        <v>36</v>
      </c>
      <c r="B2" s="2"/>
      <c r="C2" s="2"/>
      <c r="D2" s="2"/>
    </row>
    <row r="3" spans="1:4">
      <c r="A3" s="3"/>
      <c r="B3" s="3"/>
      <c r="C3" s="3"/>
      <c r="D3" s="3"/>
    </row>
    <row r="4" spans="1:4">
      <c r="A4" s="4" t="s">
        <v>37</v>
      </c>
      <c r="B4" s="3"/>
      <c r="C4" s="3"/>
      <c r="D4" s="3"/>
    </row>
    <row r="5" spans="1:4">
      <c r="A5" s="3"/>
      <c r="B5" s="3"/>
      <c r="C5" s="3"/>
      <c r="D5" s="3"/>
    </row>
    <row r="6" spans="1:4">
      <c r="A6" s="4" t="s">
        <v>38</v>
      </c>
      <c r="B6" s="4" t="s">
        <v>39</v>
      </c>
    </row>
    <row r="7" spans="1:4">
      <c r="A7" t="s">
        <v>0</v>
      </c>
      <c r="B7" t="s">
        <v>40</v>
      </c>
    </row>
    <row r="8" spans="1:4">
      <c r="A8" t="s">
        <v>1</v>
      </c>
      <c r="B8" t="s">
        <v>1</v>
      </c>
    </row>
    <row r="9" spans="1:4">
      <c r="A9" t="s">
        <v>2</v>
      </c>
      <c r="B9" t="s">
        <v>41</v>
      </c>
    </row>
    <row r="10" spans="1:4">
      <c r="A10" t="s">
        <v>3</v>
      </c>
      <c r="B10" t="s">
        <v>42</v>
      </c>
    </row>
    <row r="11" spans="1:4">
      <c r="A11" t="s">
        <v>4</v>
      </c>
      <c r="B11" t="s">
        <v>43</v>
      </c>
    </row>
    <row r="12" spans="1:4">
      <c r="A12" t="s">
        <v>5</v>
      </c>
      <c r="B12" t="s">
        <v>44</v>
      </c>
    </row>
    <row r="13" spans="1:4">
      <c r="A13" t="s">
        <v>6</v>
      </c>
      <c r="B13" t="s">
        <v>45</v>
      </c>
    </row>
    <row r="14" spans="1:4">
      <c r="A14" t="s">
        <v>7</v>
      </c>
      <c r="B14" t="s">
        <v>7</v>
      </c>
    </row>
    <row r="15" spans="1:4">
      <c r="A15" t="s">
        <v>8</v>
      </c>
      <c r="B15" t="s">
        <v>46</v>
      </c>
    </row>
    <row r="16" spans="1:4">
      <c r="A16" t="s">
        <v>9</v>
      </c>
      <c r="B16" t="s">
        <v>9</v>
      </c>
    </row>
    <row r="17" spans="1:2">
      <c r="A17" t="s">
        <v>10</v>
      </c>
      <c r="B17" t="s">
        <v>10</v>
      </c>
    </row>
    <row r="18" spans="1:2">
      <c r="A18" t="s">
        <v>11</v>
      </c>
      <c r="B18" t="s">
        <v>47</v>
      </c>
    </row>
    <row r="19" spans="1:2">
      <c r="A19" t="s">
        <v>12</v>
      </c>
      <c r="B19" t="s">
        <v>48</v>
      </c>
    </row>
    <row r="20" spans="1:2">
      <c r="A20" t="s">
        <v>13</v>
      </c>
      <c r="B20" t="s">
        <v>49</v>
      </c>
    </row>
    <row r="21" spans="1:2">
      <c r="A21" t="s">
        <v>14</v>
      </c>
      <c r="B21" t="s">
        <v>50</v>
      </c>
    </row>
    <row r="22" spans="1:2">
      <c r="A22" t="s">
        <v>15</v>
      </c>
      <c r="B22" t="s">
        <v>15</v>
      </c>
    </row>
    <row r="23" spans="1:2">
      <c r="A23" t="s">
        <v>16</v>
      </c>
      <c r="B23" t="s">
        <v>51</v>
      </c>
    </row>
    <row r="24" spans="1:2">
      <c r="A24" t="s">
        <v>17</v>
      </c>
      <c r="B24" t="s">
        <v>52</v>
      </c>
    </row>
    <row r="25" spans="1:2">
      <c r="A25" t="s">
        <v>18</v>
      </c>
      <c r="B25" t="s">
        <v>53</v>
      </c>
    </row>
    <row r="26" spans="1:2">
      <c r="A26" t="s">
        <v>19</v>
      </c>
      <c r="B26" t="s">
        <v>54</v>
      </c>
    </row>
    <row r="27" spans="1:2">
      <c r="A27" t="s">
        <v>20</v>
      </c>
      <c r="B27" t="s">
        <v>55</v>
      </c>
    </row>
    <row r="28" spans="1:2">
      <c r="A28" t="s">
        <v>21</v>
      </c>
      <c r="B28" t="s">
        <v>56</v>
      </c>
    </row>
    <row r="29" spans="1:2">
      <c r="A29" t="s">
        <v>22</v>
      </c>
      <c r="B29" t="s">
        <v>57</v>
      </c>
    </row>
    <row r="30" spans="1:2">
      <c r="A30" t="s">
        <v>23</v>
      </c>
      <c r="B30" t="s">
        <v>58</v>
      </c>
    </row>
    <row r="31" spans="1:2">
      <c r="A31" t="s">
        <v>24</v>
      </c>
      <c r="B31" t="s">
        <v>59</v>
      </c>
    </row>
  </sheetData>
  <sortState ref="A1:A100">
    <sortCondition ref="A1:A100"/>
  </sortState>
  <mergeCells count="1">
    <mergeCell ref="A2:D2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Resha</dc:creator>
  <cp:lastModifiedBy>mario</cp:lastModifiedBy>
  <dcterms:created xsi:type="dcterms:W3CDTF">2025-12-24T01:55:00Z</dcterms:created>
  <dcterms:modified xsi:type="dcterms:W3CDTF">2026-05-08T12:58:40Z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1673A9812B9F472B8237AC408CA4C609_12</vt:lpwstr>
  </property>
  <property fmtid="{D5CDD505-2E9C-101B-9397-08002B2CF9AE}" pid="3" name="KSOProductBuildVer">
    <vt:lpwstr>3082-12.1.0.25242</vt:lpwstr>
  </property>
  <property fmtid="{D5CDD505-2E9C-101B-9397-08002B2CF9AE}" pid="4" name="CalculationRule">
    <vt:i4>0</vt:i4>
  </property>
</Properties>
</file>